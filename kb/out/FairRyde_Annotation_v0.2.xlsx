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说明" sheetId="1" state="visible" r:id="rId3"/>
    <sheet name="标注表" sheetId="2" state="visible" r:id="rId4"/>
    <sheet name="覆盖检查" sheetId="3" state="visible" r:id="rId5"/>
    <sheet name="lists" sheetId="4" state="hidden" r:id="rId6"/>
  </sheets>
  <definedNames>
    <definedName function="false" hidden="true" localSheetId="1" name="_xlnm._FilterDatabase" vbProcedure="false">标注表!$A$4:$BS$305</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3" authorId="0">
      <text>
        <r>
          <rPr>
            <sz val="10"/>
            <rFont val="Arial"/>
            <family val="2"/>
          </rPr>
          <t xml:space="preserve">Assigned by seed family; all variants of a seed share one split (ONT.10.3). ORGANIZER_PUBLIC cases are known to the team, so they are reported separately and cannot measure generalization.</t>
        </r>
      </text>
    </comment>
    <comment ref="F3" authorId="0">
      <text>
        <r>
          <rPr>
            <sz val="10"/>
            <rFont val="WenQuanYi Zen Hei"/>
            <family val="2"/>
          </rPr>
          <t xml:space="preserve">词表 </t>
        </r>
        <r>
          <rPr>
            <sz val="10"/>
            <rFont val="Arial"/>
            <family val="2"/>
          </rPr>
          <t xml:space="preserve">TX-ROLE</t>
        </r>
      </text>
    </comment>
    <comment ref="H3" authorId="0">
      <text>
        <r>
          <rPr>
            <sz val="10"/>
            <rFont val="Arial"/>
            <family val="2"/>
          </rPr>
          <t xml:space="preserve">verbatim</t>
        </r>
      </text>
    </comment>
    <comment ref="I3" authorId="0">
      <text>
        <r>
          <rPr>
            <sz val="10"/>
            <rFont val="WenQuanYi Zen Hei"/>
            <family val="2"/>
          </rPr>
          <t xml:space="preserve">词表 </t>
        </r>
        <r>
          <rPr>
            <sz val="10"/>
            <rFont val="Arial"/>
            <family val="2"/>
          </rPr>
          <t xml:space="preserve">TX-SERVICE</t>
        </r>
      </text>
    </comment>
    <comment ref="J3" authorId="0">
      <text>
        <r>
          <rPr>
            <sz val="10"/>
            <rFont val="WenQuanYi Zen Hei"/>
            <family val="2"/>
          </rPr>
          <t xml:space="preserve">词表 </t>
        </r>
        <r>
          <rPr>
            <sz val="10"/>
            <rFont val="Arial"/>
            <family val="2"/>
          </rPr>
          <t xml:space="preserve">TX-BOOKING</t>
        </r>
      </text>
    </comment>
    <comment ref="K3" authorId="0">
      <text>
        <r>
          <rPr>
            <sz val="10"/>
            <rFont val="WenQuanYi Zen Hei"/>
            <family val="2"/>
          </rPr>
          <t xml:space="preserve">词表 </t>
        </r>
        <r>
          <rPr>
            <sz val="10"/>
            <rFont val="Arial"/>
            <family val="2"/>
          </rPr>
          <t xml:space="preserve">TX-PAYMETHOD</t>
        </r>
      </text>
    </comment>
    <comment ref="S3" authorId="0">
      <text>
        <r>
          <rPr>
            <sz val="10"/>
            <rFont val="WenQuanYi Zen Hei"/>
            <family val="2"/>
          </rPr>
          <t xml:space="preserve">词表 </t>
        </r>
        <r>
          <rPr>
            <sz val="10"/>
            <rFont val="Arial"/>
            <family val="2"/>
          </rPr>
          <t xml:space="preserve">TX-CANCELREASON</t>
        </r>
      </text>
    </comment>
    <comment ref="T3" authorId="0">
      <text>
        <r>
          <rPr>
            <sz val="10"/>
            <rFont val="WenQuanYi Zen Hei"/>
            <family val="2"/>
          </rPr>
          <t xml:space="preserve">词表 </t>
        </r>
        <r>
          <rPr>
            <sz val="10"/>
            <rFont val="Arial"/>
            <family val="2"/>
          </rPr>
          <t xml:space="preserve">TX-CHARGE</t>
        </r>
      </text>
    </comment>
    <comment ref="Y3" authorId="0">
      <text>
        <r>
          <rPr>
            <sz val="10"/>
            <rFont val="Arial"/>
            <family val="2"/>
          </rPr>
          <t xml:space="preserve">Count of driver pings from the wait anchor (CW-F02, CW-F02B) to the cancellation</t>
        </r>
      </text>
    </comment>
    <comment ref="Z3" authorId="0">
      <text>
        <r>
          <rPr>
            <sz val="10"/>
            <rFont val="Arial"/>
            <family val="2"/>
          </rPr>
          <t xml:space="preserve">No-show threshold of this case: the case's own policy object (no_show_threshold_min x 60), else the Ryde profile value (META-01)</t>
        </r>
      </text>
    </comment>
    <comment ref="AA3" authorId="0">
      <text>
        <r>
          <rPr>
            <sz val="10"/>
            <rFont val="Arial"/>
            <family val="2"/>
          </rPr>
          <t xml:space="preserve">Fee amount in the policy that applies to this case (policy object, else the Ryde profile)</t>
        </r>
      </text>
    </comment>
    <comment ref="AB3" authorId="0">
      <text>
        <r>
          <rPr>
            <sz val="10"/>
            <rFont val="Arial"/>
            <family val="2"/>
          </rPr>
          <t xml:space="preserve">Pre-computed; hidden in blind mode so the annotator works from the raw times</t>
        </r>
      </text>
    </comment>
    <comment ref="AC3" authorId="0">
      <text>
        <r>
          <rPr>
            <sz val="10"/>
            <rFont val="Arial"/>
            <family val="2"/>
          </rPr>
          <t xml:space="preserve">Pre-computed input of MAT-04; hidden in blind mode</t>
        </r>
      </text>
    </comment>
    <comment ref="AD3" authorId="0">
      <text>
        <r>
          <rPr>
            <sz val="10"/>
            <rFont val="Arial"/>
            <family val="2"/>
          </rPr>
          <t xml:space="preserve">Pre-computes the threshold comparison; hidden in blind mode</t>
        </r>
      </text>
    </comment>
    <comment ref="AE3" authorId="0">
      <text>
        <r>
          <rPr>
            <sz val="10"/>
            <rFont val="Arial"/>
            <family val="2"/>
          </rPr>
          <t xml:space="preserve">Rider calls and messages in CW-F06's windows: from the driver's assignment to the cancellation (no-show fee), or to the end of CW-F04's window (waiting fee); before the arrival indication only the rider's own placement counts (D30). Counts contacts only; whether they are counter-evidence depends on </t>
        </r>
      </text>
    </comment>
    <comment ref="AF3" authorId="0">
      <text>
        <r>
          <rPr>
            <sz val="10"/>
            <rFont val="Arial"/>
            <family val="2"/>
          </rPr>
          <t xml:space="preserve">Which rider-side material exists (mechanical): system_records = rider GPS or a rider call or message from the driver's assignment on, or a notification failure. Whether a rider call or message places the rider at the pick-up or contests presence (an admission of lateness does not), and whether the s</t>
        </r>
      </text>
    </comment>
    <comment ref="AG3" authorId="0">
      <text>
        <r>
          <rPr>
            <sz val="10"/>
            <rFont val="Arial"/>
            <family val="2"/>
          </rPr>
          <t xml:space="preserve">Neutral summary only</t>
        </r>
      </text>
    </comment>
    <comment ref="AI3" authorId="0">
      <text>
        <r>
          <rPr>
            <sz val="10"/>
            <rFont val="WenQuanYi Zen Hei"/>
            <family val="2"/>
          </rPr>
          <t xml:space="preserve">词表 </t>
        </r>
        <r>
          <rPr>
            <sz val="10"/>
            <rFont val="Arial"/>
            <family val="2"/>
          </rPr>
          <t xml:space="preserve">TX-CASE (leaf codes)</t>
        </r>
      </text>
    </comment>
    <comment ref="AJ3" authorId="0">
      <text>
        <r>
          <rPr>
            <sz val="10"/>
            <rFont val="WenQuanYi Zen Hei"/>
            <family val="2"/>
          </rPr>
          <t xml:space="preserve">词表 </t>
        </r>
        <r>
          <rPr>
            <sz val="10"/>
            <rFont val="Arial"/>
            <family val="2"/>
          </rPr>
          <t xml:space="preserve">TX-CASE (leaf codes)</t>
        </r>
      </text>
    </comment>
    <comment ref="AK3" authorId="0">
      <text>
        <r>
          <rPr>
            <sz val="10"/>
            <rFont val="Arial"/>
            <family val="2"/>
          </rPr>
          <t xml:space="preserve">free text when OTHER is used</t>
        </r>
      </text>
    </comment>
    <comment ref="AL3" authorId="0">
      <text>
        <r>
          <rPr>
            <sz val="10"/>
            <rFont val="WenQuanYi Zen Hei"/>
            <family val="2"/>
          </rPr>
          <t xml:space="preserve">词表 </t>
        </r>
        <r>
          <rPr>
            <sz val="10"/>
            <rFont val="Arial"/>
            <family val="2"/>
          </rPr>
          <t xml:space="preserve">TX-RELATION</t>
        </r>
      </text>
    </comment>
    <comment ref="AM3" authorId="0">
      <text>
        <r>
          <rPr>
            <sz val="10"/>
            <rFont val="Arial"/>
            <family val="2"/>
          </rPr>
          <t xml:space="preserve">Outcome of the primary claim. A route ticket on a fixed fare charged as quoted has a secondary FC-TOLL claim when the longer route passed ERP gantries the recommended route avoids (FC-R01); label the primary claim here and write the secondary claim's outcome and amount in basis_other_text. | </t>
        </r>
        <r>
          <rPr>
            <sz val="10"/>
            <rFont val="WenQuanYi Zen Hei"/>
            <family val="2"/>
          </rPr>
          <t xml:space="preserve">词表 </t>
        </r>
        <r>
          <rPr>
            <sz val="10"/>
            <rFont val="Arial"/>
            <family val="2"/>
          </rPr>
          <t xml:space="preserve">TX-O</t>
        </r>
      </text>
    </comment>
    <comment ref="AO3" authorId="0">
      <text>
        <r>
          <rPr>
            <sz val="10"/>
            <rFont val="WenQuanYi Zen Hei"/>
            <family val="2"/>
          </rPr>
          <t xml:space="preserve">词表 </t>
        </r>
        <r>
          <rPr>
            <sz val="10"/>
            <rFont val="Arial"/>
            <family val="2"/>
          </rPr>
          <t xml:space="preserve">TX-ROLE</t>
        </r>
      </text>
    </comment>
    <comment ref="AP3" authorId="0">
      <text>
        <r>
          <rPr>
            <sz val="10"/>
            <rFont val="WenQuanYi Zen Hei"/>
            <family val="2"/>
          </rPr>
          <t xml:space="preserve">词表 </t>
        </r>
        <r>
          <rPr>
            <sz val="10"/>
            <rFont val="Arial"/>
            <family val="2"/>
          </rPr>
          <t xml:space="preserve">TX-ROLE</t>
        </r>
      </text>
    </comment>
    <comment ref="AQ3" authorId="0">
      <text>
        <r>
          <rPr>
            <sz val="10"/>
            <rFont val="WenQuanYi Zen Hei"/>
            <family val="2"/>
          </rPr>
          <t xml:space="preserve">词表 </t>
        </r>
        <r>
          <rPr>
            <sz val="10"/>
            <rFont val="Arial"/>
            <family val="2"/>
          </rPr>
          <t xml:space="preserve">TX-REMEDY-FORM</t>
        </r>
      </text>
    </comment>
    <comment ref="AR3" authorId="0">
      <text>
        <r>
          <rPr>
            <sz val="10"/>
            <rFont val="WenQuanYi Zen Hei"/>
            <family val="2"/>
          </rPr>
          <t xml:space="preserve">词表 </t>
        </r>
        <r>
          <rPr>
            <sz val="10"/>
            <rFont val="Arial"/>
            <family val="2"/>
          </rPr>
          <t xml:space="preserve">TX-REASON</t>
        </r>
      </text>
    </comment>
    <comment ref="AS3" authorId="0">
      <text>
        <r>
          <rPr>
            <sz val="10"/>
            <rFont val="WenQuanYi Zen Hei"/>
            <family val="2"/>
          </rPr>
          <t xml:space="preserve">词表 </t>
        </r>
        <r>
          <rPr>
            <sz val="10"/>
            <rFont val="Arial"/>
            <family val="2"/>
          </rPr>
          <t xml:space="preserve">TX-REASON</t>
        </r>
      </text>
    </comment>
    <comment ref="AT3" authorId="0">
      <text>
        <r>
          <rPr>
            <sz val="10"/>
            <rFont val="Arial"/>
            <family val="2"/>
          </rPr>
          <t xml:space="preserve">Y when a person must approve or decide (autonomy_tier APPROVE or HUMAN); N for AUTO. The coverage sheet counts rows where the two disagree.</t>
        </r>
      </text>
    </comment>
    <comment ref="AU3" authorId="0">
      <text>
        <r>
          <rPr>
            <sz val="10"/>
            <rFont val="Arial"/>
            <family val="2"/>
          </rPr>
          <t xml:space="preserve">AUTO, APPROVE (FairRyde has a ruling a person confirms or changes) or HUMAN (safety, or outcome ESCALATE_HUMAN: there is no ruling to approve, AUTH-06). An ESCALATE_HUMAN outcome is always HUMAN, and so is a REQUEST_INFO under CLS-06 (no ruling until the trip record arrives). | </t>
        </r>
        <r>
          <rPr>
            <sz val="10"/>
            <rFont val="WenQuanYi Zen Hei"/>
            <family val="2"/>
          </rPr>
          <t xml:space="preserve">词表 </t>
        </r>
        <r>
          <rPr>
            <sz val="10"/>
            <rFont val="Arial"/>
            <family val="2"/>
          </rPr>
          <t xml:space="preserve">TX-TIER-AUTONOMY</t>
        </r>
      </text>
    </comment>
    <comment ref="AV3" authorId="0">
      <text>
        <r>
          <rPr>
            <sz val="10"/>
            <rFont val="WenQuanYi Zen Hei"/>
            <family val="2"/>
          </rPr>
          <t xml:space="preserve">词表 </t>
        </r>
        <r>
          <rPr>
            <sz val="10"/>
            <rFont val="Arial"/>
            <family val="2"/>
          </rPr>
          <t xml:space="preserve">TX-FLAG</t>
        </r>
      </text>
    </comment>
    <comment ref="AX3" authorId="0">
      <text>
        <r>
          <rPr>
            <sz val="10"/>
            <rFont val="WenQuanYi Zen Hei"/>
            <family val="2"/>
          </rPr>
          <t xml:space="preserve">词表 </t>
        </r>
        <r>
          <rPr>
            <sz val="10"/>
            <rFont val="Arial"/>
            <family val="2"/>
          </rPr>
          <t xml:space="preserve">rule ids</t>
        </r>
      </text>
    </comment>
    <comment ref="AY3" authorId="0">
      <text>
        <r>
          <rPr>
            <sz val="10"/>
            <rFont val="Arial"/>
            <family val="2"/>
          </rPr>
          <t xml:space="preserve">Row of DT-CW-NOSHOW that applies (n/a for other types)</t>
        </r>
      </text>
    </comment>
    <comment ref="AZ3" authorId="0">
      <text>
        <r>
          <rPr>
            <sz val="10"/>
            <rFont val="WenQuanYi Zen Hei"/>
            <family val="2"/>
          </rPr>
          <t xml:space="preserve">词表 </t>
        </r>
        <r>
          <rPr>
            <sz val="10"/>
            <rFont val="Arial"/>
            <family val="2"/>
          </rPr>
          <t xml:space="preserve">rule ids</t>
        </r>
      </text>
    </comment>
    <comment ref="BA3" authorId="0">
      <text>
        <r>
          <rPr>
            <sz val="10"/>
            <rFont val="Arial"/>
            <family val="2"/>
          </rPr>
          <t xml:space="preserve">Basis not covered by a rule ID (for example a Ryde article missing from the KB); free text</t>
        </r>
      </text>
    </comment>
    <comment ref="BB3" authorId="0">
      <text>
        <r>
          <rPr>
            <sz val="10"/>
            <rFont val="WenQuanYi Zen Hei"/>
            <family val="2"/>
          </rPr>
          <t xml:space="preserve">词表 </t>
        </r>
        <r>
          <rPr>
            <sz val="10"/>
            <rFont val="Arial"/>
            <family val="2"/>
          </rPr>
          <t xml:space="preserve">source ids</t>
        </r>
      </text>
    </comment>
    <comment ref="BC3" authorId="0">
      <text>
        <r>
          <rPr>
            <sz val="10"/>
            <rFont val="WenQuanYi Zen Hei"/>
            <family val="2"/>
          </rPr>
          <t xml:space="preserve">词表 </t>
        </r>
        <r>
          <rPr>
            <sz val="10"/>
            <rFont val="Arial"/>
            <family val="2"/>
          </rPr>
          <t xml:space="preserve">evidence ids</t>
        </r>
      </text>
    </comment>
    <comment ref="BD3" authorId="0">
      <text>
        <r>
          <rPr>
            <sz val="10"/>
            <rFont val="WenQuanYi Zen Hei"/>
            <family val="2"/>
          </rPr>
          <t xml:space="preserve">词表 </t>
        </r>
        <r>
          <rPr>
            <sz val="10"/>
            <rFont val="Arial"/>
            <family val="2"/>
          </rPr>
          <t xml:space="preserve">evidence ids</t>
        </r>
      </text>
    </comment>
    <comment ref="BE3" authorId="0">
      <text>
        <r>
          <rPr>
            <sz val="10"/>
            <rFont val="Arial"/>
            <family val="2"/>
          </rPr>
          <t xml:space="preserve">Evidence without an ID (free text)</t>
        </r>
      </text>
    </comment>
    <comment ref="BF3" authorId="0">
      <text>
        <r>
          <rPr>
            <sz val="10"/>
            <rFont val="WenQuanYi Zen Hei"/>
            <family val="2"/>
          </rPr>
          <t xml:space="preserve">词表 </t>
        </r>
        <r>
          <rPr>
            <sz val="10"/>
            <rFont val="Arial"/>
            <family val="2"/>
          </rPr>
          <t xml:space="preserve">evidence ids</t>
        </r>
      </text>
    </comment>
    <comment ref="BG3" authorId="0">
      <text>
        <r>
          <rPr>
            <sz val="10"/>
            <rFont val="Arial"/>
            <family val="2"/>
          </rPr>
          <t xml:space="preserve">one to three sentences</t>
        </r>
      </text>
    </comment>
    <comment ref="BR3" authorId="0">
      <text>
        <r>
          <rPr>
            <sz val="10"/>
            <rFont val="Arial"/>
            <family val="2"/>
          </rPr>
          <t xml:space="preserve">POLICY_FIRST = labeled from the Ryde articles and the handbook only, without the rule cards. ORGANIZER_PUBLIC cases are always STANDARD: the whole team has seen them and their traces.</t>
        </r>
      </text>
    </comment>
  </commentList>
</comments>
</file>

<file path=xl/sharedStrings.xml><?xml version="1.0" encoding="utf-8"?>
<sst xmlns="http://schemas.openxmlformats.org/spreadsheetml/2006/main" count="1498" uniqueCount="699">
  <si>
    <r>
      <rPr>
        <b val="true"/>
        <sz val="14"/>
        <rFont val="Arial"/>
        <family val="0"/>
        <charset val="1"/>
      </rPr>
      <t xml:space="preserve">FairRyde </t>
    </r>
    <r>
      <rPr>
        <b val="true"/>
        <sz val="14"/>
        <rFont val="WenQuanYi Zen Hei"/>
        <family val="2"/>
      </rPr>
      <t xml:space="preserve">标注工作簿 </t>
    </r>
    <r>
      <rPr>
        <b val="true"/>
        <sz val="14"/>
        <rFont val="Arial"/>
        <family val="0"/>
        <charset val="1"/>
      </rPr>
      <t xml:space="preserve">v0.2</t>
    </r>
    <r>
      <rPr>
        <b val="true"/>
        <sz val="14"/>
        <rFont val="WenQuanYi Zen Hei"/>
        <family val="2"/>
      </rPr>
      <t xml:space="preserve">（给标注人看，</t>
    </r>
    <r>
      <rPr>
        <b val="true"/>
        <sz val="14"/>
        <rFont val="Arial"/>
        <family val="0"/>
        <charset val="1"/>
      </rPr>
      <t xml:space="preserve">ONT.5</t>
    </r>
    <r>
      <rPr>
        <b val="true"/>
        <sz val="14"/>
        <rFont val="WenQuanYi Zen Hei"/>
        <family val="2"/>
      </rPr>
      <t xml:space="preserve">：说明写进表里）</t>
    </r>
  </si>
  <si>
    <t xml:space="preserve">The standard answer is never pre-filled by the system under test or by any model. Input columns are mechanical copies of the case file; helper calculations use spreadsheet formulas (an implementation independent of FairRyde's Python engine, so the two cross-check each other); answer and basis columns are filled by people only.</t>
  </si>
  <si>
    <r>
      <rPr>
        <sz val="10"/>
        <rFont val="WenQuanYi Zen Hei"/>
        <family val="2"/>
      </rPr>
      <t xml:space="preserve">铁律 </t>
    </r>
    <r>
      <rPr>
        <sz val="10"/>
        <rFont val="Arial"/>
        <family val="0"/>
        <charset val="1"/>
      </rPr>
      <t xml:space="preserve">1</t>
    </r>
    <r>
      <rPr>
        <sz val="10"/>
        <rFont val="WenQuanYi Zen Hei"/>
        <family val="2"/>
      </rPr>
      <t xml:space="preserve">：标准答案（</t>
    </r>
    <r>
      <rPr>
        <sz val="10"/>
        <rFont val="Arial"/>
        <family val="0"/>
        <charset val="1"/>
      </rPr>
      <t xml:space="preserve">ANSWER</t>
    </r>
    <r>
      <rPr>
        <sz val="10"/>
        <rFont val="WenQuanYi Zen Hei"/>
        <family val="2"/>
      </rPr>
      <t xml:space="preserve">、</t>
    </r>
    <r>
      <rPr>
        <sz val="10"/>
        <rFont val="Arial"/>
        <family val="0"/>
        <charset val="1"/>
      </rPr>
      <t xml:space="preserve">BASIS </t>
    </r>
    <r>
      <rPr>
        <sz val="10"/>
        <rFont val="WenQuanYi Zen Hei"/>
        <family val="2"/>
      </rPr>
      <t xml:space="preserve">两组列）只能由人填写，不能抄 </t>
    </r>
    <r>
      <rPr>
        <sz val="10"/>
        <rFont val="Arial"/>
        <family val="0"/>
        <charset val="1"/>
      </rPr>
      <t xml:space="preserve">FairRyde </t>
    </r>
    <r>
      <rPr>
        <sz val="10"/>
        <rFont val="WenQuanYi Zen Hei"/>
        <family val="2"/>
      </rPr>
      <t xml:space="preserve">或任何模型的输出。</t>
    </r>
  </si>
  <si>
    <r>
      <rPr>
        <sz val="10"/>
        <rFont val="WenQuanYi Zen Hei"/>
        <family val="2"/>
      </rPr>
      <t xml:space="preserve">铁律 </t>
    </r>
    <r>
      <rPr>
        <sz val="10"/>
        <rFont val="Arial"/>
        <family val="0"/>
        <charset val="1"/>
      </rPr>
      <t xml:space="preserve">2</t>
    </r>
    <r>
      <rPr>
        <sz val="10"/>
        <rFont val="WenQuanYi Zen Hei"/>
        <family val="2"/>
      </rPr>
      <t xml:space="preserve">：</t>
    </r>
    <r>
      <rPr>
        <sz val="10"/>
        <rFont val="Arial"/>
        <family val="0"/>
        <charset val="1"/>
      </rPr>
      <t xml:space="preserve">INDEPENDENT_BLIND </t>
    </r>
    <r>
      <rPr>
        <sz val="10"/>
        <rFont val="WenQuanYi Zen Hei"/>
        <family val="2"/>
      </rPr>
      <t xml:space="preserve">模式下先折叠（隐藏）</t>
    </r>
    <r>
      <rPr>
        <sz val="10"/>
        <rFont val="Arial"/>
        <family val="0"/>
        <charset val="1"/>
      </rPr>
      <t xml:space="preserve">INPUT </t>
    </r>
    <r>
      <rPr>
        <sz val="10"/>
        <rFont val="WenQuanYi Zen Hei"/>
        <family val="2"/>
      </rPr>
      <t xml:space="preserve">组最后 </t>
    </r>
    <r>
      <rPr>
        <sz val="10"/>
        <rFont val="Arial"/>
        <family val="0"/>
        <charset val="1"/>
      </rPr>
      <t xml:space="preserve">6 </t>
    </r>
    <r>
      <rPr>
        <sz val="10"/>
        <rFont val="WenQuanYi Zen Hei"/>
        <family val="2"/>
      </rPr>
      <t xml:space="preserve">列：</t>
    </r>
    <r>
      <rPr>
        <sz val="10"/>
        <rFont val="Arial"/>
        <family val="0"/>
        <charset val="1"/>
      </rPr>
      <t xml:space="preserve">wait_elapsed_s, filing_delay_days, wait_margin_s, rider_contacts, rider_side_evidence, chat_summary</t>
    </r>
    <r>
      <rPr>
        <sz val="10"/>
        <rFont val="WenQuanYi Zen Hei"/>
        <family val="2"/>
      </rPr>
      <t xml:space="preserve">。它们是 </t>
    </r>
    <r>
      <rPr>
        <sz val="10"/>
        <rFont val="Arial"/>
        <family val="0"/>
        <charset val="1"/>
      </rPr>
      <t xml:space="preserve">AI </t>
    </r>
    <r>
      <rPr>
        <sz val="10"/>
        <rFont val="WenQuanYi Zen Hei"/>
        <family val="2"/>
      </rPr>
      <t xml:space="preserve">草稿或提前算好的决策表输入，会锚定判断。点表头上方的减号即可折叠。</t>
    </r>
  </si>
  <si>
    <r>
      <rPr>
        <sz val="10"/>
        <rFont val="WenQuanYi Zen Hei"/>
        <family val="2"/>
      </rPr>
      <t xml:space="preserve">铁律 </t>
    </r>
    <r>
      <rPr>
        <sz val="10"/>
        <rFont val="Arial"/>
        <family val="0"/>
        <charset val="1"/>
      </rPr>
      <t xml:space="preserve">3</t>
    </r>
    <r>
      <rPr>
        <sz val="10"/>
        <rFont val="WenQuanYi Zen Hei"/>
        <family val="2"/>
      </rPr>
      <t xml:space="preserve">：进评测的案件不能拿去当 </t>
    </r>
    <r>
      <rPr>
        <sz val="10"/>
        <rFont val="Arial"/>
        <family val="0"/>
        <charset val="1"/>
      </rPr>
      <t xml:space="preserve">few-shot </t>
    </r>
    <r>
      <rPr>
        <sz val="10"/>
        <rFont val="WenQuanYi Zen Hei"/>
        <family val="2"/>
      </rPr>
      <t xml:space="preserve">示例，也不能放进判例库（</t>
    </r>
    <r>
      <rPr>
        <sz val="10"/>
        <rFont val="Arial"/>
        <family val="0"/>
        <charset val="1"/>
      </rPr>
      <t xml:space="preserve">ONT.10.3</t>
    </r>
    <r>
      <rPr>
        <sz val="10"/>
        <rFont val="WenQuanYi Zen Hei"/>
        <family val="2"/>
      </rPr>
      <t xml:space="preserve">）。</t>
    </r>
  </si>
  <si>
    <r>
      <rPr>
        <sz val="10"/>
        <rFont val="WenQuanYi Zen Hei"/>
        <family val="2"/>
      </rPr>
      <t xml:space="preserve">铁律 </t>
    </r>
    <r>
      <rPr>
        <sz val="10"/>
        <rFont val="Arial"/>
        <family val="0"/>
        <charset val="1"/>
      </rPr>
      <t xml:space="preserve">4</t>
    </r>
    <r>
      <rPr>
        <sz val="10"/>
        <rFont val="WenQuanYi Zen Hei"/>
        <family val="2"/>
      </rPr>
      <t xml:space="preserve">：脚本不会覆盖已经填过人工列的本文件；改表结构请先备份，再让脚本生成新文件后按内容（不是行号）迁移。</t>
    </r>
  </si>
  <si>
    <r>
      <rPr>
        <sz val="10"/>
        <rFont val="WenQuanYi Zen Hei"/>
        <family val="2"/>
      </rPr>
      <t xml:space="preserve">怎么填：能用下拉就用下拉；下拉里没有的值可以自己输入（会弹警告，确认即可），但优先用 </t>
    </r>
    <r>
      <rPr>
        <sz val="10"/>
        <rFont val="Arial"/>
        <family val="0"/>
        <charset val="1"/>
      </rPr>
      <t xml:space="preserve">OTHER </t>
    </r>
    <r>
      <rPr>
        <sz val="10"/>
        <rFont val="WenQuanYi Zen Hei"/>
        <family val="2"/>
      </rPr>
      <t xml:space="preserve">加自填列。</t>
    </r>
  </si>
  <si>
    <r>
      <rPr>
        <sz val="10"/>
        <rFont val="WenQuanYi Zen Hei"/>
        <family val="2"/>
      </rPr>
      <t xml:space="preserve">多值：一格多个值用英文分号加空格分隔，例如 </t>
    </r>
    <r>
      <rPr>
        <sz val="10"/>
        <rFont val="Arial"/>
        <family val="0"/>
        <charset val="1"/>
      </rPr>
      <t xml:space="preserve">BOUNDARY_MARGIN; PIN_VENUE_MISMATCH</t>
    </r>
    <r>
      <rPr>
        <sz val="10"/>
        <rFont val="WenQuanYi Zen Hei"/>
        <family val="2"/>
      </rPr>
      <t xml:space="preserve">。</t>
    </r>
  </si>
  <si>
    <r>
      <rPr>
        <sz val="10"/>
        <rFont val="WenQuanYi Zen Hei"/>
        <family val="2"/>
      </rPr>
      <t xml:space="preserve">主项 </t>
    </r>
    <r>
      <rPr>
        <sz val="10"/>
        <rFont val="Arial"/>
        <family val="0"/>
        <charset val="1"/>
      </rPr>
      <t xml:space="preserve">/ </t>
    </r>
    <r>
      <rPr>
        <sz val="10"/>
        <rFont val="WenQuanYi Zen Hei"/>
        <family val="2"/>
      </rPr>
      <t xml:space="preserve">次项 </t>
    </r>
    <r>
      <rPr>
        <sz val="10"/>
        <rFont val="Arial"/>
        <family val="0"/>
        <charset val="1"/>
      </rPr>
      <t xml:space="preserve">/ </t>
    </r>
    <r>
      <rPr>
        <sz val="10"/>
        <rFont val="WenQuanYi Zen Hei"/>
        <family val="2"/>
      </rPr>
      <t xml:space="preserve">其他：</t>
    </r>
    <r>
      <rPr>
        <sz val="10"/>
        <rFont val="Arial"/>
        <family val="0"/>
        <charset val="1"/>
      </rPr>
      <t xml:space="preserve">primary </t>
    </r>
    <r>
      <rPr>
        <sz val="10"/>
        <rFont val="WenQuanYi Zen Hei"/>
        <family val="2"/>
      </rPr>
      <t xml:space="preserve">列只填一个最主要的；</t>
    </r>
    <r>
      <rPr>
        <sz val="10"/>
        <rFont val="Arial"/>
        <family val="0"/>
        <charset val="1"/>
      </rPr>
      <t xml:space="preserve">secondary </t>
    </r>
    <r>
      <rPr>
        <sz val="10"/>
        <rFont val="WenQuanYi Zen Hei"/>
        <family val="2"/>
      </rPr>
      <t xml:space="preserve">列填其余的；都放不下就写进 </t>
    </r>
    <r>
      <rPr>
        <sz val="10"/>
        <rFont val="Arial"/>
        <family val="0"/>
        <charset val="1"/>
      </rPr>
      <t xml:space="preserve">other </t>
    </r>
    <r>
      <rPr>
        <sz val="10"/>
        <rFont val="WenQuanYi Zen Hei"/>
        <family val="2"/>
      </rPr>
      <t xml:space="preserve">自填列。</t>
    </r>
  </si>
  <si>
    <r>
      <rPr>
        <sz val="10"/>
        <rFont val="WenQuanYi Zen Hei"/>
        <family val="2"/>
      </rPr>
      <t xml:space="preserve">不确定时：仍按你认为最可能的结果填写，</t>
    </r>
    <r>
      <rPr>
        <sz val="10"/>
        <rFont val="Arial"/>
        <family val="0"/>
        <charset val="1"/>
      </rPr>
      <t xml:space="preserve">annotator_confidence </t>
    </r>
    <r>
      <rPr>
        <sz val="10"/>
        <rFont val="WenQuanYi Zen Hei"/>
        <family val="2"/>
      </rPr>
      <t xml:space="preserve">填 </t>
    </r>
    <r>
      <rPr>
        <sz val="10"/>
        <rFont val="Arial"/>
        <family val="0"/>
        <charset val="1"/>
      </rPr>
      <t xml:space="preserve">1</t>
    </r>
    <r>
      <rPr>
        <sz val="10"/>
        <rFont val="WenQuanYi Zen Hei"/>
        <family val="2"/>
      </rPr>
      <t xml:space="preserve">，在 </t>
    </r>
    <r>
      <rPr>
        <sz val="10"/>
        <rFont val="Arial"/>
        <family val="0"/>
        <charset val="1"/>
      </rPr>
      <t xml:space="preserve">rationale </t>
    </r>
    <r>
      <rPr>
        <sz val="10"/>
        <rFont val="WenQuanYi Zen Hei"/>
        <family val="2"/>
      </rPr>
      <t xml:space="preserve">写清楚卡在哪里；这类案件交曹老师仲裁。只有规则确实决定不了时（事实有争议、乘客强反证、无成文规则），结果才填 </t>
    </r>
    <r>
      <rPr>
        <sz val="10"/>
        <rFont val="Arial"/>
        <family val="0"/>
        <charset val="1"/>
      </rPr>
      <t xml:space="preserve">ESCALATE_HUMAN</t>
    </r>
    <r>
      <rPr>
        <sz val="10"/>
        <rFont val="WenQuanYi Zen Hei"/>
        <family val="2"/>
      </rPr>
      <t xml:space="preserve">。</t>
    </r>
  </si>
  <si>
    <r>
      <rPr>
        <sz val="10"/>
        <rFont val="WenQuanYi Zen Hei"/>
        <family val="2"/>
      </rPr>
      <t xml:space="preserve">自治等级：</t>
    </r>
    <r>
      <rPr>
        <sz val="10"/>
        <rFont val="Arial"/>
        <family val="0"/>
        <charset val="1"/>
      </rPr>
      <t xml:space="preserve">AUTO </t>
    </r>
    <r>
      <rPr>
        <sz val="10"/>
        <rFont val="WenQuanYi Zen Hei"/>
        <family val="2"/>
      </rPr>
      <t xml:space="preserve">自动执行；</t>
    </r>
    <r>
      <rPr>
        <sz val="10"/>
        <rFont val="Arial"/>
        <family val="0"/>
        <charset val="1"/>
      </rPr>
      <t xml:space="preserve">APPROVE </t>
    </r>
    <r>
      <rPr>
        <sz val="10"/>
        <rFont val="WenQuanYi Zen Hei"/>
        <family val="2"/>
      </rPr>
      <t xml:space="preserve">有裁决、需人确认或修改；</t>
    </r>
    <r>
      <rPr>
        <sz val="10"/>
        <rFont val="Arial"/>
        <family val="0"/>
        <charset val="1"/>
      </rPr>
      <t xml:space="preserve">HUMAN </t>
    </r>
    <r>
      <rPr>
        <sz val="10"/>
        <rFont val="WenQuanYi Zen Hei"/>
        <family val="2"/>
      </rPr>
      <t xml:space="preserve">安全类，或结果为 </t>
    </r>
    <r>
      <rPr>
        <sz val="10"/>
        <rFont val="Arial"/>
        <family val="0"/>
        <charset val="1"/>
      </rPr>
      <t xml:space="preserve">ESCALATE_HUMAN</t>
    </r>
    <r>
      <rPr>
        <sz val="10"/>
        <rFont val="WenQuanYi Zen Hei"/>
        <family val="2"/>
      </rPr>
      <t xml:space="preserve">（没有可批准的裁决，</t>
    </r>
    <r>
      <rPr>
        <sz val="10"/>
        <rFont val="Arial"/>
        <family val="0"/>
        <charset val="1"/>
      </rPr>
      <t xml:space="preserve">AUTH-06</t>
    </r>
    <r>
      <rPr>
        <sz val="10"/>
        <rFont val="WenQuanYi Zen Hei"/>
        <family val="2"/>
      </rPr>
      <t xml:space="preserve">）。结果填 </t>
    </r>
    <r>
      <rPr>
        <sz val="10"/>
        <rFont val="Arial"/>
        <family val="0"/>
        <charset val="1"/>
      </rPr>
      <t xml:space="preserve">ESCALATE_HUMAN </t>
    </r>
    <r>
      <rPr>
        <sz val="10"/>
        <rFont val="WenQuanYi Zen Hei"/>
        <family val="2"/>
      </rPr>
      <t xml:space="preserve">时自治等级必须填 </t>
    </r>
    <r>
      <rPr>
        <sz val="10"/>
        <rFont val="Arial"/>
        <family val="0"/>
        <charset val="1"/>
      </rPr>
      <t xml:space="preserve">HUMAN</t>
    </r>
    <r>
      <rPr>
        <sz val="10"/>
        <rFont val="WenQuanYi Zen Hei"/>
        <family val="2"/>
      </rPr>
      <t xml:space="preserve">；</t>
    </r>
    <r>
      <rPr>
        <sz val="10"/>
        <rFont val="Arial"/>
        <family val="0"/>
        <charset val="1"/>
      </rPr>
      <t xml:space="preserve">escalate </t>
    </r>
    <r>
      <rPr>
        <sz val="10"/>
        <rFont val="WenQuanYi Zen Hei"/>
        <family val="2"/>
      </rPr>
      <t xml:space="preserve">列在 </t>
    </r>
    <r>
      <rPr>
        <sz val="10"/>
        <rFont val="Arial"/>
        <family val="0"/>
        <charset val="1"/>
      </rPr>
      <t xml:space="preserve">APPROVE </t>
    </r>
    <r>
      <rPr>
        <sz val="10"/>
        <rFont val="WenQuanYi Zen Hei"/>
        <family val="2"/>
      </rPr>
      <t xml:space="preserve">或 </t>
    </r>
    <r>
      <rPr>
        <sz val="10"/>
        <rFont val="Arial"/>
        <family val="0"/>
        <charset val="1"/>
      </rPr>
      <t xml:space="preserve">HUMAN </t>
    </r>
    <r>
      <rPr>
        <sz val="10"/>
        <rFont val="WenQuanYi Zen Hei"/>
        <family val="2"/>
      </rPr>
      <t xml:space="preserve">时填 </t>
    </r>
    <r>
      <rPr>
        <sz val="10"/>
        <rFont val="Arial"/>
        <family val="0"/>
        <charset val="1"/>
      </rPr>
      <t xml:space="preserve">Y</t>
    </r>
    <r>
      <rPr>
        <sz val="10"/>
        <rFont val="WenQuanYi Zen Hei"/>
        <family val="2"/>
      </rPr>
      <t xml:space="preserve">，</t>
    </r>
    <r>
      <rPr>
        <sz val="10"/>
        <rFont val="Arial"/>
        <family val="0"/>
        <charset val="1"/>
      </rPr>
      <t xml:space="preserve">AUTO </t>
    </r>
    <r>
      <rPr>
        <sz val="10"/>
        <rFont val="WenQuanYi Zen Hei"/>
        <family val="2"/>
      </rPr>
      <t xml:space="preserve">时填 </t>
    </r>
    <r>
      <rPr>
        <sz val="10"/>
        <rFont val="Arial"/>
        <family val="0"/>
        <charset val="1"/>
      </rPr>
      <t xml:space="preserve">N</t>
    </r>
    <r>
      <rPr>
        <sz val="10"/>
        <rFont val="WenQuanYi Zen Hei"/>
        <family val="2"/>
      </rPr>
      <t xml:space="preserve">。</t>
    </r>
  </si>
  <si>
    <r>
      <rPr>
        <sz val="10"/>
        <rFont val="WenQuanYi Zen Hei"/>
        <family val="2"/>
      </rPr>
      <t xml:space="preserve">颜色：黄色 </t>
    </r>
    <r>
      <rPr>
        <sz val="10"/>
        <rFont val="Arial"/>
        <family val="0"/>
        <charset val="1"/>
      </rPr>
      <t xml:space="preserve">= </t>
    </r>
    <r>
      <rPr>
        <sz val="10"/>
        <rFont val="WenQuanYi Zen Hei"/>
        <family val="2"/>
      </rPr>
      <t xml:space="preserve">人填；灰色 </t>
    </r>
    <r>
      <rPr>
        <sz val="10"/>
        <rFont val="Arial"/>
        <family val="0"/>
        <charset val="1"/>
      </rPr>
      <t xml:space="preserve">= </t>
    </r>
    <r>
      <rPr>
        <sz val="10"/>
        <rFont val="WenQuanYi Zen Hei"/>
        <family val="2"/>
      </rPr>
      <t xml:space="preserve">自动抄录或公式，不要改；浅蓝 </t>
    </r>
    <r>
      <rPr>
        <sz val="10"/>
        <rFont val="Arial"/>
        <family val="0"/>
        <charset val="1"/>
      </rPr>
      <t xml:space="preserve">= AI </t>
    </r>
    <r>
      <rPr>
        <sz val="10"/>
        <rFont val="WenQuanYi Zen Hei"/>
        <family val="2"/>
      </rPr>
      <t xml:space="preserve">可起草的辅助列；绿色第 </t>
    </r>
    <r>
      <rPr>
        <sz val="10"/>
        <rFont val="Arial"/>
        <family val="0"/>
        <charset val="1"/>
      </rPr>
      <t xml:space="preserve">5 </t>
    </r>
    <r>
      <rPr>
        <sz val="10"/>
        <rFont val="WenQuanYi Zen Hei"/>
        <family val="2"/>
      </rPr>
      <t xml:space="preserve">行 </t>
    </r>
    <r>
      <rPr>
        <sz val="10"/>
        <rFont val="Arial"/>
        <family val="0"/>
        <charset val="1"/>
      </rPr>
      <t xml:space="preserve">= </t>
    </r>
    <r>
      <rPr>
        <sz val="10"/>
        <rFont val="WenQuanYi Zen Hei"/>
        <family val="2"/>
      </rPr>
      <t xml:space="preserve">示例（虚构案件，只示范格式，不计入统计）。</t>
    </r>
  </si>
  <si>
    <r>
      <rPr>
        <sz val="10"/>
        <rFont val="WenQuanYi Zen Hei"/>
        <family val="2"/>
      </rPr>
      <t xml:space="preserve">难例类型：</t>
    </r>
    <r>
      <rPr>
        <sz val="10"/>
        <rFont val="Arial"/>
        <family val="0"/>
        <charset val="1"/>
      </rPr>
      <t xml:space="preserve">MISSING_INFO </t>
    </r>
    <r>
      <rPr>
        <sz val="10"/>
        <rFont val="WenQuanYi Zen Hei"/>
        <family val="2"/>
      </rPr>
      <t xml:space="preserve">关键信息缺失；</t>
    </r>
    <r>
      <rPr>
        <sz val="10"/>
        <rFont val="Arial"/>
        <family val="0"/>
        <charset val="1"/>
      </rPr>
      <t xml:space="preserve">NEGATIVE </t>
    </r>
    <r>
      <rPr>
        <sz val="10"/>
        <rFont val="WenQuanYi Zen Hei"/>
        <family val="2"/>
      </rPr>
      <t xml:space="preserve">无需处理的负样本；</t>
    </r>
    <r>
      <rPr>
        <sz val="10"/>
        <rFont val="Arial"/>
        <family val="0"/>
        <charset val="1"/>
      </rPr>
      <t xml:space="preserve">VAGUE </t>
    </r>
    <r>
      <rPr>
        <sz val="10"/>
        <rFont val="WenQuanYi Zen Hei"/>
        <family val="2"/>
      </rPr>
      <t xml:space="preserve">措辞含糊；</t>
    </r>
    <r>
      <rPr>
        <sz val="10"/>
        <rFont val="Arial"/>
        <family val="0"/>
        <charset val="1"/>
      </rPr>
      <t xml:space="preserve">STATE_UPDATE </t>
    </r>
    <r>
      <rPr>
        <sz val="10"/>
        <rFont val="WenQuanYi Zen Hei"/>
        <family val="2"/>
      </rPr>
      <t xml:space="preserve">需要状态更新（协议要求的四类），另有 </t>
    </r>
    <r>
      <rPr>
        <sz val="10"/>
        <rFont val="Arial"/>
        <family val="0"/>
        <charset val="1"/>
      </rPr>
      <t xml:space="preserve">BOUNDARY </t>
    </r>
    <r>
      <rPr>
        <sz val="10"/>
        <rFont val="WenQuanYi Zen Hei"/>
        <family val="2"/>
      </rPr>
      <t xml:space="preserve">边界值、</t>
    </r>
    <r>
      <rPr>
        <sz val="10"/>
        <rFont val="Arial"/>
        <family val="0"/>
        <charset val="1"/>
      </rPr>
      <t xml:space="preserve">CONFLICT </t>
    </r>
    <r>
      <rPr>
        <sz val="10"/>
        <rFont val="WenQuanYi Zen Hei"/>
        <family val="2"/>
      </rPr>
      <t xml:space="preserve">冲突、</t>
    </r>
    <r>
      <rPr>
        <sz val="10"/>
        <rFont val="Arial"/>
        <family val="0"/>
        <charset val="1"/>
      </rPr>
      <t xml:space="preserve">BAD_FAITH </t>
    </r>
    <r>
      <rPr>
        <sz val="10"/>
        <rFont val="WenQuanYi Zen Hei"/>
        <family val="2"/>
      </rPr>
      <t xml:space="preserve">恶意、</t>
    </r>
    <r>
      <rPr>
        <sz val="10"/>
        <rFont val="Arial"/>
        <family val="0"/>
        <charset val="1"/>
      </rPr>
      <t xml:space="preserve">ADVERSARIAL </t>
    </r>
    <r>
      <rPr>
        <sz val="10"/>
        <rFont val="WenQuanYi Zen Hei"/>
        <family val="2"/>
      </rPr>
      <t xml:space="preserve">注入攻击、</t>
    </r>
    <r>
      <rPr>
        <sz val="10"/>
        <rFont val="Arial"/>
        <family val="0"/>
        <charset val="1"/>
      </rPr>
      <t xml:space="preserve">CLEAR </t>
    </r>
    <r>
      <rPr>
        <sz val="10"/>
        <rFont val="WenQuanYi Zen Hei"/>
        <family val="2"/>
      </rPr>
      <t xml:space="preserve">清晰案例。</t>
    </r>
  </si>
  <si>
    <r>
      <rPr>
        <sz val="10"/>
        <rFont val="WenQuanYi Zen Hei"/>
        <family val="2"/>
      </rPr>
      <t xml:space="preserve">证据编号：</t>
    </r>
    <r>
      <rPr>
        <sz val="10"/>
        <rFont val="Arial"/>
        <family val="0"/>
        <charset val="1"/>
      </rPr>
      <t xml:space="preserve">E-TKT-01 </t>
    </r>
    <r>
      <rPr>
        <sz val="10"/>
        <rFont val="WenQuanYi Zen Hei"/>
        <family val="2"/>
      </rPr>
      <t xml:space="preserve">工单；</t>
    </r>
    <r>
      <rPr>
        <sz val="10"/>
        <rFont val="Arial"/>
        <family val="0"/>
        <charset val="1"/>
      </rPr>
      <t xml:space="preserve">E-PRF-R / E-PRF-D </t>
    </r>
    <r>
      <rPr>
        <sz val="10"/>
        <rFont val="WenQuanYi Zen Hei"/>
        <family val="2"/>
      </rPr>
      <t xml:space="preserve">乘客 </t>
    </r>
    <r>
      <rPr>
        <sz val="10"/>
        <rFont val="Arial"/>
        <family val="0"/>
        <charset val="1"/>
      </rPr>
      <t xml:space="preserve">/ </t>
    </r>
    <r>
      <rPr>
        <sz val="10"/>
        <rFont val="WenQuanYi Zen Hei"/>
        <family val="2"/>
      </rPr>
      <t xml:space="preserve">司机档案；</t>
    </r>
    <r>
      <rPr>
        <sz val="10"/>
        <rFont val="Arial"/>
        <family val="0"/>
        <charset val="1"/>
      </rPr>
      <t xml:space="preserve">E-TRP-01(.</t>
    </r>
    <r>
      <rPr>
        <sz val="10"/>
        <rFont val="WenQuanYi Zen Hei"/>
        <family val="2"/>
      </rPr>
      <t xml:space="preserve">字段</t>
    </r>
    <r>
      <rPr>
        <sz val="10"/>
        <rFont val="Arial"/>
        <family val="0"/>
        <charset val="1"/>
      </rPr>
      <t xml:space="preserve">) </t>
    </r>
    <r>
      <rPr>
        <sz val="10"/>
        <rFont val="WenQuanYi Zen Hei"/>
        <family val="2"/>
      </rPr>
      <t xml:space="preserve">行程记录；</t>
    </r>
    <r>
      <rPr>
        <sz val="10"/>
        <rFont val="Arial"/>
        <family val="0"/>
        <charset val="1"/>
      </rPr>
      <t xml:space="preserve">E-GPS-nn </t>
    </r>
    <r>
      <rPr>
        <sz val="10"/>
        <rFont val="WenQuanYi Zen Hei"/>
        <family val="2"/>
      </rPr>
      <t xml:space="preserve">司机定位；</t>
    </r>
    <r>
      <rPr>
        <sz val="10"/>
        <rFont val="Arial"/>
        <family val="0"/>
        <charset val="1"/>
      </rPr>
      <t xml:space="preserve">E-RGPS-nn </t>
    </r>
    <r>
      <rPr>
        <sz val="10"/>
        <rFont val="WenQuanYi Zen Hei"/>
        <family val="2"/>
      </rPr>
      <t xml:space="preserve">乘客定位；</t>
    </r>
    <r>
      <rPr>
        <sz val="10"/>
        <rFont val="Arial"/>
        <family val="0"/>
        <charset val="1"/>
      </rPr>
      <t xml:space="preserve">E-CHT-nn </t>
    </r>
    <r>
      <rPr>
        <sz val="10"/>
        <rFont val="WenQuanYi Zen Hei"/>
        <family val="2"/>
      </rPr>
      <t xml:space="preserve">聊天与通话；</t>
    </r>
    <r>
      <rPr>
        <sz val="10"/>
        <rFont val="Arial"/>
        <family val="0"/>
        <charset val="1"/>
      </rPr>
      <t xml:space="preserve">E-APP-nn app </t>
    </r>
    <r>
      <rPr>
        <sz val="10"/>
        <rFont val="WenQuanYi Zen Hei"/>
        <family val="2"/>
      </rPr>
      <t xml:space="preserve">事件；</t>
    </r>
    <r>
      <rPr>
        <sz val="10"/>
        <rFont val="Arial"/>
        <family val="0"/>
        <charset val="1"/>
      </rPr>
      <t xml:space="preserve">E-POL-01 </t>
    </r>
    <r>
      <rPr>
        <sz val="10"/>
        <rFont val="WenQuanYi Zen Hei"/>
        <family val="2"/>
      </rPr>
      <t xml:space="preserve">案件自带政策；</t>
    </r>
    <r>
      <rPr>
        <sz val="10"/>
        <rFont val="Arial"/>
        <family val="0"/>
        <charset val="1"/>
      </rPr>
      <t xml:space="preserve">E-GEO-nn OneMap </t>
    </r>
    <r>
      <rPr>
        <sz val="10"/>
        <rFont val="WenQuanYi Zen Hei"/>
        <family val="2"/>
      </rPr>
      <t xml:space="preserve">查询（参考，不算证据）。</t>
    </r>
  </si>
  <si>
    <r>
      <rPr>
        <sz val="10"/>
        <rFont val="WenQuanYi Zen Hei"/>
        <family val="2"/>
      </rPr>
      <t xml:space="preserve">示例来源：</t>
    </r>
    <r>
      <rPr>
        <sz val="10"/>
        <rFont val="Arial"/>
        <family val="0"/>
        <charset val="1"/>
      </rPr>
      <t xml:space="preserve">The example values below belong to a made-up case, EXAMPLE-01 (a rider cancels one minute after matching), so no real or organizer case gets a model-drafted answer. The example shows the format only and is never used as a gold label or as a few-shot example.</t>
    </r>
  </si>
  <si>
    <r>
      <rPr>
        <sz val="10"/>
        <rFont val="WenQuanYi Zen Hei"/>
        <family val="2"/>
      </rPr>
      <t xml:space="preserve">脱敏：案件文字里的姓名、车牌已换成代码（</t>
    </r>
    <r>
      <rPr>
        <sz val="10"/>
        <rFont val="Arial"/>
        <family val="0"/>
        <charset val="1"/>
      </rPr>
      <t xml:space="preserve">RIDER-NAME-1</t>
    </r>
    <r>
      <rPr>
        <sz val="10"/>
        <rFont val="WenQuanYi Zen Hei"/>
        <family val="2"/>
      </rPr>
      <t xml:space="preserve">、</t>
    </r>
    <r>
      <rPr>
        <sz val="10"/>
        <rFont val="Arial"/>
        <family val="0"/>
        <charset val="1"/>
      </rPr>
      <t xml:space="preserve">DRIVER-NAME-1</t>
    </r>
    <r>
      <rPr>
        <sz val="10"/>
        <rFont val="WenQuanYi Zen Hei"/>
        <family val="2"/>
      </rPr>
      <t xml:space="preserve">、</t>
    </r>
    <r>
      <rPr>
        <sz val="10"/>
        <rFont val="Arial"/>
        <family val="0"/>
        <charset val="1"/>
      </rPr>
      <t xml:space="preserve">PLATE-1</t>
    </r>
    <r>
      <rPr>
        <sz val="10"/>
        <rFont val="WenQuanYi Zen Hei"/>
        <family val="2"/>
      </rPr>
      <t xml:space="preserve">）；对照表只放在负责人本机（</t>
    </r>
    <r>
      <rPr>
        <sz val="10"/>
        <rFont val="Arial"/>
        <family val="0"/>
        <charset val="1"/>
      </rPr>
      <t xml:space="preserve">kb/private/</t>
    </r>
    <r>
      <rPr>
        <sz val="10"/>
        <rFont val="WenQuanYi Zen Hei"/>
        <family val="2"/>
      </rPr>
      <t xml:space="preserve">），不进仓库。</t>
    </r>
  </si>
  <si>
    <t xml:space="preserve">每一列的说明</t>
  </si>
  <si>
    <t xml:space="preserve">列组</t>
  </si>
  <si>
    <t xml:space="preserve">列名</t>
  </si>
  <si>
    <t xml:space="preserve">填写方式</t>
  </si>
  <si>
    <r>
      <rPr>
        <b val="true"/>
        <sz val="10"/>
        <color rgb="FFFFFFFF"/>
        <rFont val="WenQuanYi Zen Hei"/>
        <family val="2"/>
      </rPr>
      <t xml:space="preserve">词表 </t>
    </r>
    <r>
      <rPr>
        <b val="true"/>
        <sz val="10"/>
        <color rgb="FFFFFFFF"/>
        <rFont val="Arial"/>
        <family val="0"/>
        <charset val="1"/>
      </rPr>
      <t xml:space="preserve">/ </t>
    </r>
    <r>
      <rPr>
        <b val="true"/>
        <sz val="10"/>
        <color rgb="FFFFFFFF"/>
        <rFont val="WenQuanYi Zen Hei"/>
        <family val="2"/>
      </rPr>
      <t xml:space="preserve">取值</t>
    </r>
  </si>
  <si>
    <t xml:space="preserve">多值</t>
  </si>
  <si>
    <t xml:space="preserve">盲标</t>
  </si>
  <si>
    <t xml:space="preserve">说明</t>
  </si>
  <si>
    <r>
      <rPr>
        <b val="true"/>
        <sz val="10"/>
        <color rgb="FFFFFFFF"/>
        <rFont val="WenQuanYi Zen Hei"/>
        <family val="2"/>
      </rPr>
      <t xml:space="preserve">示例（虚构案件 </t>
    </r>
    <r>
      <rPr>
        <b val="true"/>
        <sz val="10"/>
        <color rgb="FFFFFFFF"/>
        <rFont val="Arial"/>
        <family val="0"/>
        <charset val="1"/>
      </rPr>
      <t xml:space="preserve">EXAMPLE-01</t>
    </r>
    <r>
      <rPr>
        <b val="true"/>
        <sz val="10"/>
        <color rgb="FFFFFFFF"/>
        <rFont val="WenQuanYi Zen Hei"/>
        <family val="2"/>
      </rPr>
      <t xml:space="preserve">）</t>
    </r>
  </si>
  <si>
    <r>
      <rPr>
        <sz val="10"/>
        <rFont val="Arial"/>
        <family val="0"/>
        <charset val="1"/>
      </rPr>
      <t xml:space="preserve">INPUT</t>
    </r>
    <r>
      <rPr>
        <sz val="10"/>
        <rFont val="WenQuanYi Zen Hei"/>
        <family val="2"/>
      </rPr>
      <t xml:space="preserve">（输入列（原始材料））</t>
    </r>
  </si>
  <si>
    <t xml:space="preserve">case_id</t>
  </si>
  <si>
    <t xml:space="preserve">AUTO</t>
  </si>
  <si>
    <t xml:space="preserve">EXAMPLE-01</t>
  </si>
  <si>
    <t xml:space="preserve">case_source</t>
  </si>
  <si>
    <r>
      <rPr>
        <sz val="10"/>
        <rFont val="WenQuanYi Zen Hei"/>
        <family val="2"/>
      </rPr>
      <t xml:space="preserve">取值</t>
    </r>
    <r>
      <rPr>
        <sz val="10"/>
        <rFont val="Arial"/>
        <family val="0"/>
        <charset val="1"/>
      </rPr>
      <t xml:space="preserve">: ORGANIZER; SYNTHETIC; HANDWRITTEN</t>
    </r>
  </si>
  <si>
    <t xml:space="preserve">HANDWRITTEN</t>
  </si>
  <si>
    <t xml:space="preserve">split</t>
  </si>
  <si>
    <r>
      <rPr>
        <sz val="10"/>
        <rFont val="WenQuanYi Zen Hei"/>
        <family val="2"/>
      </rPr>
      <t xml:space="preserve">取值</t>
    </r>
    <r>
      <rPr>
        <sz val="10"/>
        <rFont val="Arial"/>
        <family val="0"/>
        <charset val="1"/>
      </rPr>
      <t xml:space="preserve">: ORGANIZER_PUBLIC; DEV; HELDOUT</t>
    </r>
  </si>
  <si>
    <t xml:space="preserve">Assigned by seed family; all variants of a seed share one split (ONT.10.3). ORGANIZER_PUBLIC cases are known to the team, so they are reported separately and cannot measure generalization.</t>
  </si>
  <si>
    <t xml:space="preserve">DEV</t>
  </si>
  <si>
    <t xml:space="preserve">seed_family</t>
  </si>
  <si>
    <t xml:space="preserve">SEED-EX01</t>
  </si>
  <si>
    <t xml:space="preserve">policy_profile</t>
  </si>
  <si>
    <r>
      <rPr>
        <sz val="10"/>
        <rFont val="WenQuanYi Zen Hei"/>
        <family val="2"/>
      </rPr>
      <t xml:space="preserve">取值</t>
    </r>
    <r>
      <rPr>
        <sz val="10"/>
        <rFont val="Arial"/>
        <family val="0"/>
        <charset val="1"/>
      </rPr>
      <t xml:space="preserve">: organizer_case; ryde_2026</t>
    </r>
  </si>
  <si>
    <t xml:space="preserve">ryde_2026</t>
  </si>
  <si>
    <t xml:space="preserve">filed_by</t>
  </si>
  <si>
    <t xml:space="preserve">TX-ROLE</t>
  </si>
  <si>
    <t xml:space="preserve">RIDER</t>
  </si>
  <si>
    <t xml:space="preserve">dispute_type_raw</t>
  </si>
  <si>
    <t xml:space="preserve">cancellation_fee</t>
  </si>
  <si>
    <t xml:space="preserve">description</t>
  </si>
  <si>
    <t xml:space="preserve">verbatim</t>
  </si>
  <si>
    <t xml:space="preserve">I cancelled one minute after the driver was assigned because I set the wrong pickup, but I was still charged $6.61.</t>
  </si>
  <si>
    <t xml:space="preserve">service_type</t>
  </si>
  <si>
    <t xml:space="preserve">TX-SERVICE</t>
  </si>
  <si>
    <t xml:space="preserve">RYDEX</t>
  </si>
  <si>
    <t xml:space="preserve">booking_type_recorded</t>
  </si>
  <si>
    <t xml:space="preserve">TX-BOOKING</t>
  </si>
  <si>
    <t xml:space="preserve">ON_DEMAND</t>
  </si>
  <si>
    <t xml:space="preserve">payment_method</t>
  </si>
  <si>
    <t xml:space="preserve">TX-PAYMETHOD</t>
  </si>
  <si>
    <t xml:space="preserve">CARD</t>
  </si>
  <si>
    <t xml:space="preserve">booked_at</t>
  </si>
  <si>
    <t xml:space="preserve">2026-09-20 19:02:00</t>
  </si>
  <si>
    <t xml:space="preserve">matched_at</t>
  </si>
  <si>
    <t xml:space="preserve">2026-09-20 19:02:20</t>
  </si>
  <si>
    <t xml:space="preserve">scheduled_time</t>
  </si>
  <si>
    <t xml:space="preserve">driver_arrival_time</t>
  </si>
  <si>
    <t xml:space="preserve">driver_wait_start</t>
  </si>
  <si>
    <t xml:space="preserve">cancellation_time</t>
  </si>
  <si>
    <t xml:space="preserve">2026-09-20 19:03:20</t>
  </si>
  <si>
    <t xml:space="preserve">filed_at</t>
  </si>
  <si>
    <t xml:space="preserve">2026-09-20 19:30:00</t>
  </si>
  <si>
    <t xml:space="preserve">cancellation_reason</t>
  </si>
  <si>
    <t xml:space="preserve">TX-CANCELREASON</t>
  </si>
  <si>
    <t xml:space="preserve">rider_cancelled</t>
  </si>
  <si>
    <t xml:space="preserve">contested_charge_type</t>
  </si>
  <si>
    <t xml:space="preserve">TX-CHARGE</t>
  </si>
  <si>
    <t xml:space="preserve">CANCELLATION_FEE</t>
  </si>
  <si>
    <t xml:space="preserve">contested_amount_sgd</t>
  </si>
  <si>
    <t xml:space="preserve">pickup_name</t>
  </si>
  <si>
    <t xml:space="preserve">VivoCity</t>
  </si>
  <si>
    <t xml:space="preserve">driver_calls</t>
  </si>
  <si>
    <t xml:space="preserve">driver_messages</t>
  </si>
  <si>
    <t xml:space="preserve">wait_pings</t>
  </si>
  <si>
    <t xml:space="preserve">Count of driver pings from the wait anchor (CW-F02, CW-F02B) to the cancellation</t>
  </si>
  <si>
    <t xml:space="preserve">policy_threshold_s</t>
  </si>
  <si>
    <t xml:space="preserve">No-show threshold of this case: the case's own policy object (no_show_threshold_min x 60), else the Ryde profile value (META-01)</t>
  </si>
  <si>
    <t xml:space="preserve">policy_fee_sgd</t>
  </si>
  <si>
    <t xml:space="preserve">Fee amount in the policy that applies to this case (policy object, else the Ryde profile)</t>
  </si>
  <si>
    <t xml:space="preserve">wait_elapsed_s</t>
  </si>
  <si>
    <t xml:space="preserve">FORMULA</t>
  </si>
  <si>
    <t xml:space="preserve">隐藏</t>
  </si>
  <si>
    <t xml:space="preserve">Pre-computed; hidden in blind mode so the annotator works from the raw times</t>
  </si>
  <si>
    <t xml:space="preserve">filing_delay_days</t>
  </si>
  <si>
    <t xml:space="preserve">Pre-computed input of MAT-04; hidden in blind mode</t>
  </si>
  <si>
    <t xml:space="preserve">wait_margin_s</t>
  </si>
  <si>
    <t xml:space="preserve">Pre-computes the threshold comparison; hidden in blind mode</t>
  </si>
  <si>
    <t xml:space="preserve">rider_contacts</t>
  </si>
  <si>
    <t xml:space="preserve">Rider calls and messages in CW-F06's windows: from the driver's assignment to the cancellation (no-show fee), or to the end of CW-F04's window (waiting fee); before the arrival indication only the rider's own placement counts (D30). Counts contacts only; whether they are counter-evidence depends on what they say (CW-F06). Pre-computes part of CW-F06, so hidden in blind mode.</t>
  </si>
  <si>
    <t xml:space="preserve">rider_side_evidence</t>
  </si>
  <si>
    <r>
      <rPr>
        <sz val="10"/>
        <rFont val="WenQuanYi Zen Hei"/>
        <family val="2"/>
      </rPr>
      <t xml:space="preserve">取值</t>
    </r>
    <r>
      <rPr>
        <sz val="10"/>
        <rFont val="Arial"/>
        <family val="0"/>
        <charset val="1"/>
      </rPr>
      <t xml:space="preserve">: none; statement_only; system_records</t>
    </r>
  </si>
  <si>
    <t xml:space="preserve">Which rider-side material exists (mechanical): system_records = rider GPS or a rider call or message from the driver's assignment on, or a notification failure. Whether a rider call or message places the rider at the pick-up or contests presence (an admission of lateness does not), and whether the statement contests presence, are the annotator's call (CW-F06). Hidden in blind mode.</t>
  </si>
  <si>
    <t xml:space="preserve">statement_only</t>
  </si>
  <si>
    <t xml:space="preserve">chat_summary</t>
  </si>
  <si>
    <t xml:space="preserve">AI_OK</t>
  </si>
  <si>
    <t xml:space="preserve">Neutral summary only</t>
  </si>
  <si>
    <t xml:space="preserve">No messages between rider and driver.</t>
  </si>
  <si>
    <r>
      <rPr>
        <sz val="10"/>
        <rFont val="Arial"/>
        <family val="0"/>
        <charset val="1"/>
      </rPr>
      <t xml:space="preserve">ANSWER</t>
    </r>
    <r>
      <rPr>
        <sz val="10"/>
        <rFont val="WenQuanYi Zen Hei"/>
        <family val="2"/>
      </rPr>
      <t xml:space="preserve">（标准答案列（人工判断））</t>
    </r>
  </si>
  <si>
    <t xml:space="preserve">is_dispute</t>
  </si>
  <si>
    <t xml:space="preserve">HUMAN</t>
  </si>
  <si>
    <r>
      <rPr>
        <sz val="10"/>
        <rFont val="WenQuanYi Zen Hei"/>
        <family val="2"/>
      </rPr>
      <t xml:space="preserve">取值</t>
    </r>
    <r>
      <rPr>
        <sz val="10"/>
        <rFont val="Arial"/>
        <family val="0"/>
        <charset val="1"/>
      </rPr>
      <t xml:space="preserve">: Y; N</t>
    </r>
  </si>
  <si>
    <t xml:space="preserve">Y</t>
  </si>
  <si>
    <t xml:space="preserve">primary_type</t>
  </si>
  <si>
    <t xml:space="preserve">TX-CASE (leaf codes)</t>
  </si>
  <si>
    <t xml:space="preserve">CW-RIDERCANCEL</t>
  </si>
  <si>
    <t xml:space="preserve">secondary_types</t>
  </si>
  <si>
    <t xml:space="preserve">other_type_text</t>
  </si>
  <si>
    <t xml:space="preserve">free text when OTHER is used</t>
  </si>
  <si>
    <t xml:space="preserve">relation_type</t>
  </si>
  <si>
    <t xml:space="preserve">TX-RELATION</t>
  </si>
  <si>
    <t xml:space="preserve">NEW</t>
  </si>
  <si>
    <t xml:space="preserve">outcome</t>
  </si>
  <si>
    <t xml:space="preserve">TX-OUTCOME</t>
  </si>
  <si>
    <t xml:space="preserve">Outcome of the primary claim. A route ticket on a fixed fare charged as quoted has a secondary FC-TOLL claim when the longer route passed ERP gantries the recommended route avoids (FC-R01); label the primary claim here and write the secondary claim's outcome and amount in basis_other_text.</t>
  </si>
  <si>
    <t xml:space="preserve">WAIVE_FEE</t>
  </si>
  <si>
    <t xml:space="preserve">remedy_amount_sgd</t>
  </si>
  <si>
    <t xml:space="preserve">remedy_payer</t>
  </si>
  <si>
    <t xml:space="preserve">PLATFORM</t>
  </si>
  <si>
    <t xml:space="preserve">remedy_payee</t>
  </si>
  <si>
    <t xml:space="preserve">remedy_form</t>
  </si>
  <si>
    <t xml:space="preserve">TX-REMEDY-FORM</t>
  </si>
  <si>
    <t xml:space="preserve">WALLET_VOUCHER</t>
  </si>
  <si>
    <t xml:space="preserve">reason_code_primary</t>
  </si>
  <si>
    <t xml:space="preserve">TX-REASON</t>
  </si>
  <si>
    <t xml:space="preserve">CW-R-FREE-WINDOW</t>
  </si>
  <si>
    <t xml:space="preserve">reason_codes_secondary</t>
  </si>
  <si>
    <t xml:space="preserve">escalate</t>
  </si>
  <si>
    <t xml:space="preserve">Y when a person must approve or decide (autonomy_tier APPROVE or HUMAN); N for AUTO. The coverage sheet counts rows where the two disagree.</t>
  </si>
  <si>
    <t xml:space="preserve">N</t>
  </si>
  <si>
    <t xml:space="preserve">autonomy_tier</t>
  </si>
  <si>
    <t xml:space="preserve">TX-TIER-AUTONOMY</t>
  </si>
  <si>
    <t xml:space="preserve">AUTO, APPROVE (FairRyde has a ruling a person confirms or changes) or HUMAN (safety, or outcome ESCALATE_HUMAN: there is no ruling to approve, AUTH-06). An ESCALATE_HUMAN outcome is always HUMAN, and so is a REQUEST_INFO under CLS-06 (no ruling until the trip record arrives).</t>
  </si>
  <si>
    <t xml:space="preserve">required_flags</t>
  </si>
  <si>
    <t xml:space="preserve">TX-FLAG</t>
  </si>
  <si>
    <t xml:space="preserve">difficulty</t>
  </si>
  <si>
    <r>
      <rPr>
        <sz val="10"/>
        <rFont val="WenQuanYi Zen Hei"/>
        <family val="2"/>
      </rPr>
      <t xml:space="preserve">取值</t>
    </r>
    <r>
      <rPr>
        <sz val="10"/>
        <rFont val="Arial"/>
        <family val="0"/>
        <charset val="1"/>
      </rPr>
      <t xml:space="preserve">: CLEAR; BOUNDARY; CONFLICT; MISSING_INFO; NEGATIVE; VAGUE; STATE_UPDATE; BAD_FAITH; ADVERSARIAL</t>
    </r>
  </si>
  <si>
    <t xml:space="preserve">CLEAR</t>
  </si>
  <si>
    <r>
      <rPr>
        <sz val="10"/>
        <rFont val="Arial"/>
        <family val="0"/>
        <charset val="1"/>
      </rPr>
      <t xml:space="preserve">BASIS</t>
    </r>
    <r>
      <rPr>
        <sz val="10"/>
        <rFont val="WenQuanYi Zen Hei"/>
        <family val="2"/>
      </rPr>
      <t xml:space="preserve">（依据列（用了哪个文件、哪条规则））</t>
    </r>
  </si>
  <si>
    <t xml:space="preserve">decisive_rule_primary</t>
  </si>
  <si>
    <t xml:space="preserve">rule ids</t>
  </si>
  <si>
    <t xml:space="preserve">CW-R01</t>
  </si>
  <si>
    <t xml:space="preserve">decision_table_row</t>
  </si>
  <si>
    <r>
      <rPr>
        <sz val="10"/>
        <rFont val="WenQuanYi Zen Hei"/>
        <family val="2"/>
      </rPr>
      <t xml:space="preserve">取值</t>
    </r>
    <r>
      <rPr>
        <sz val="10"/>
        <rFont val="Arial"/>
        <family val="0"/>
        <charset val="1"/>
      </rPr>
      <t xml:space="preserve">: R1; R2; R3; R4; R5; R6; R7; R8; R9; R10; R11; n/a</t>
    </r>
  </si>
  <si>
    <t xml:space="preserve">Row of DT-CW-NOSHOW that applies (n/a for other types)</t>
  </si>
  <si>
    <t xml:space="preserve">n/a</t>
  </si>
  <si>
    <t xml:space="preserve">supporting_rules</t>
  </si>
  <si>
    <t xml:space="preserve">CW-F01; CW-R10; MAT-04</t>
  </si>
  <si>
    <t xml:space="preserve">basis_other_text</t>
  </si>
  <si>
    <t xml:space="preserve">Basis not covered by a rule ID (for example a Ryde article missing from the KB); free text</t>
  </si>
  <si>
    <t xml:space="preserve">source_docs</t>
  </si>
  <si>
    <t xml:space="preserve">source ids</t>
  </si>
  <si>
    <t xml:space="preserve">RYDE-23534478435353; RYDE-18229758389017</t>
  </si>
  <si>
    <t xml:space="preserve">key_evidence_primary</t>
  </si>
  <si>
    <t xml:space="preserve">evidence ids</t>
  </si>
  <si>
    <t xml:space="preserve">E-APP-02; E-APP-03</t>
  </si>
  <si>
    <t xml:space="preserve">key_evidence_secondary</t>
  </si>
  <si>
    <t xml:space="preserve">E-TRP-01.cancellation_fee</t>
  </si>
  <si>
    <t xml:space="preserve">evidence_other_text</t>
  </si>
  <si>
    <t xml:space="preserve">Evidence without an ID (free text)</t>
  </si>
  <si>
    <t xml:space="preserve">must_not_be_decisive</t>
  </si>
  <si>
    <t xml:space="preserve">E-PRF-R; E-PRF-D</t>
  </si>
  <si>
    <t xml:space="preserve">rationale</t>
  </si>
  <si>
    <t xml:space="preserve">one to three sentences</t>
  </si>
  <si>
    <t xml:space="preserve">The rider canceled 60 seconds after matching, inside Ryde's 3-minute free window, so the S$6.61 fee is not chargeable and is returned as a voucher.</t>
  </si>
  <si>
    <t xml:space="preserve">annotator_confidence</t>
  </si>
  <si>
    <r>
      <rPr>
        <sz val="10"/>
        <rFont val="WenQuanYi Zen Hei"/>
        <family val="2"/>
      </rPr>
      <t xml:space="preserve">取值</t>
    </r>
    <r>
      <rPr>
        <sz val="10"/>
        <rFont val="Arial"/>
        <family val="0"/>
        <charset val="1"/>
      </rPr>
      <t xml:space="preserve">: 1; 2; 3</t>
    </r>
  </si>
  <si>
    <r>
      <rPr>
        <sz val="10"/>
        <rFont val="Arial"/>
        <family val="0"/>
        <charset val="1"/>
      </rPr>
      <t xml:space="preserve">RELATION</t>
    </r>
    <r>
      <rPr>
        <sz val="10"/>
        <rFont val="WenQuanYi Zen Hei"/>
        <family val="2"/>
      </rPr>
      <t xml:space="preserve">（关联列（与哪条案件有关））</t>
    </r>
  </si>
  <si>
    <t xml:space="preserve">related_case_id</t>
  </si>
  <si>
    <t xml:space="preserve">seed_case_id</t>
  </si>
  <si>
    <t xml:space="preserve">varied_factor</t>
  </si>
  <si>
    <t xml:space="preserve">none (seed)</t>
  </si>
  <si>
    <t xml:space="preserve">metamorphic_group</t>
  </si>
  <si>
    <t xml:space="preserve">metamorphic_relation</t>
  </si>
  <si>
    <r>
      <rPr>
        <sz val="10"/>
        <rFont val="WenQuanYi Zen Hei"/>
        <family val="2"/>
      </rPr>
      <t xml:space="preserve">取值</t>
    </r>
    <r>
      <rPr>
        <sz val="10"/>
        <rFont val="Arial"/>
        <family val="0"/>
        <charset val="1"/>
      </rPr>
      <t xml:space="preserve">: MR1_IDENTITY_SWAP; MR2_HISTORY_FLIP; MR3_TIME_SHIFT; MR4_IRRELEVANT_CHAT; MR5_ARRAY_SHUFFLE; MR6_PARAPHRASE; MR7_LATER_CANCEL_MONOTONE; MR8_REMOVE_CONTACT_MONOTONE; MR9_INJECTION</t>
    </r>
  </si>
  <si>
    <r>
      <rPr>
        <sz val="10"/>
        <rFont val="Arial"/>
        <family val="0"/>
        <charset val="1"/>
      </rPr>
      <t xml:space="preserve">PROCESS</t>
    </r>
    <r>
      <rPr>
        <sz val="10"/>
        <rFont val="WenQuanYi Zen Hei"/>
        <family val="2"/>
      </rPr>
      <t xml:space="preserve">（过程列）</t>
    </r>
  </si>
  <si>
    <t xml:space="preserve">annotator</t>
  </si>
  <si>
    <t xml:space="preserve">Jasper</t>
  </si>
  <si>
    <t xml:space="preserve">annotated_at</t>
  </si>
  <si>
    <t xml:space="preserve">2026-10-11</t>
  </si>
  <si>
    <t xml:space="preserve">guideline_version</t>
  </si>
  <si>
    <t xml:space="preserve">G-0.1</t>
  </si>
  <si>
    <t xml:space="preserve">rulebook_version</t>
  </si>
  <si>
    <t xml:space="preserve">KB-0.1.0</t>
  </si>
  <si>
    <t xml:space="preserve">labeling_mode</t>
  </si>
  <si>
    <r>
      <rPr>
        <sz val="10"/>
        <rFont val="WenQuanYi Zen Hei"/>
        <family val="2"/>
      </rPr>
      <t xml:space="preserve">取值</t>
    </r>
    <r>
      <rPr>
        <sz val="10"/>
        <rFont val="Arial"/>
        <family val="0"/>
        <charset val="1"/>
      </rPr>
      <t xml:space="preserve">: INDEPENDENT_BLIND; STANDARD; POLICY_FIRST</t>
    </r>
  </si>
  <si>
    <t xml:space="preserve">POLICY_FIRST = labeled from the Ryde articles and the handbook only, without the rule cards. ORGANIZER_PUBLIC cases are always STANDARD: the whole team has seen them and their traces.</t>
  </si>
  <si>
    <t xml:space="preserve">STANDARD</t>
  </si>
  <si>
    <t xml:space="preserve">minutes_spent</t>
  </si>
  <si>
    <r>
      <rPr>
        <b val="true"/>
        <sz val="11"/>
        <color rgb="FF1F4E78"/>
        <rFont val="WenQuanYi Zen Hei"/>
        <family val="2"/>
      </rPr>
      <t xml:space="preserve">验证方案摘要（</t>
    </r>
    <r>
      <rPr>
        <b val="true"/>
        <sz val="11"/>
        <color rgb="FF1F4E78"/>
        <rFont val="Arial"/>
        <family val="0"/>
        <charset val="1"/>
      </rPr>
      <t xml:space="preserve">ONT.6</t>
    </r>
    <r>
      <rPr>
        <b val="true"/>
        <sz val="11"/>
        <color rgb="FF1F4E78"/>
        <rFont val="WenQuanYi Zen Hei"/>
        <family val="2"/>
      </rPr>
      <t xml:space="preserve">，全文见知识库工作簿 </t>
    </r>
    <r>
      <rPr>
        <b val="true"/>
        <sz val="11"/>
        <color rgb="FF1F4E78"/>
        <rFont val="Arial"/>
        <family val="0"/>
        <charset val="1"/>
      </rPr>
      <t xml:space="preserve">17_</t>
    </r>
    <r>
      <rPr>
        <b val="true"/>
        <sz val="11"/>
        <color rgb="FF1F4E78"/>
        <rFont val="WenQuanYi Zen Hei"/>
        <family val="2"/>
      </rPr>
      <t xml:space="preserve">标注方案）</t>
    </r>
  </si>
  <si>
    <t xml:space="preserve">项目</t>
  </si>
  <si>
    <t xml:space="preserve">内容</t>
  </si>
  <si>
    <t xml:space="preserve">标准答案来源</t>
  </si>
  <si>
    <t xml:space="preserve">Jasper labels every case from the rule cards and the raw case only (engine output hidden), then runs the engine and logs every disagreement as label error, ambiguous rule card, or code bug. Jasper wrote the rules, so his labels test the code, not the rules.; POLICY_FIRST subset: the junior teammate, who did not write the rule cards, labels 20 cases from the Ryde articles and the handbook only. Disagreements with the rule cards are the main way to find a wrong rule (ONT.2: rules answer to the original text).; The junior teammate also double-labels 25 to 30 stratified cases in INDEPENDENT_BLIND mode; target Cohen's kappa at least 0.60 on outcome, aim for 0.80; Cao adjudicates disagreements.; The junior teammate writes 10 to 15 held-out cases from one-sentence scenarios without seeing the factor model.; Freeze the rulebook (KB-1.0.0) before labeling the held-out set; later rule changes require relabeling affected cases.</t>
  </si>
  <si>
    <t xml:space="preserve">难例配额</t>
  </si>
  <si>
    <t xml:space="preserve">MISSING_INFO: &gt;= 4 (no trip_id; two candidate trips; booking type missing; no driver GPS during the wait); NEGATIVE: &gt;= 6 (lost item, rating complaint, how-to-tip question, fee question only, valid fee correctly charged, duplicate submission); VAGUE: &gt;= 3 (for example 'the app charged me weird'); STATE_UPDATE: &gt;= 4 (duplicate, update with new evidence, appeal of an automatic ruling, counter-claim by the driver); BOUNDARY: &gt;= 9 (wait margin -31, -30, -1, 0, +1, +30 s; ping gap at PING_MAX_GAP_S -1, 0, +1 s; an outside stretch just under and just over LEFT_MIN_OUTSIDE_S; a single outside ping with sparse and with dense sampling; a last outside ping with no return; an outside ping inside and just outside TS_TOLERANCE_S of the window end; an impossible jump; pings that do not line up with the wait start; an arrival mark before the first GPS confirmation; leaving just before and just after the threshold; detour ratio 1.19 and 1.20); CONFLICT: &gt;= 4 (platform arrival check vs a far ping; A/B sources beyond tolerance; rider strong evidence vs an established no-show; pin far from the venue with the rider at the venue); BAD_FAITH: &gt;= 4 (two rider abuse, two driver fee-farming or ERP overstatement); ADVERSARIAL: &gt;= 4 (instruction injected in description, in chat, fake JSON, other language)</t>
  </si>
  <si>
    <t xml:space="preserve">循环论证控制</t>
  </si>
  <si>
    <t xml:space="preserve">No model fills ANSWER or BASIS columns, ever; the example row is a made-up case.; The independent subset hides AI_OK columns and the pre-computed decision-table inputs (hide_in_blind).; The POLICY_FIRST subset is labeled without the rule cards.; Evaluation cases (ORGANIZER_PUBLIC, HELDOUT, and the DEV cases used for metrics) are never used as few-shot examples or stored in the precedent library (ONT.10.3).; Report synthetic and handwritten results separately; cluster standard errors by seed family.</t>
  </si>
  <si>
    <r>
      <rPr>
        <b val="true"/>
        <sz val="10"/>
        <rFont val="WenQuanYi Zen Hei"/>
        <family val="2"/>
      </rPr>
      <t xml:space="preserve">图例：黄色 </t>
    </r>
    <r>
      <rPr>
        <b val="true"/>
        <sz val="10"/>
        <rFont val="Arial"/>
        <family val="0"/>
        <charset val="1"/>
      </rPr>
      <t xml:space="preserve">= </t>
    </r>
    <r>
      <rPr>
        <b val="true"/>
        <sz val="10"/>
        <rFont val="WenQuanYi Zen Hei"/>
        <family val="2"/>
      </rPr>
      <t xml:space="preserve">人填；灰色 </t>
    </r>
    <r>
      <rPr>
        <b val="true"/>
        <sz val="10"/>
        <rFont val="Arial"/>
        <family val="0"/>
        <charset val="1"/>
      </rPr>
      <t xml:space="preserve">= </t>
    </r>
    <r>
      <rPr>
        <b val="true"/>
        <sz val="10"/>
        <rFont val="WenQuanYi Zen Hei"/>
        <family val="2"/>
      </rPr>
      <t xml:space="preserve">自动或公式（不要改）；浅蓝 </t>
    </r>
    <r>
      <rPr>
        <b val="true"/>
        <sz val="10"/>
        <rFont val="Arial"/>
        <family val="0"/>
        <charset val="1"/>
      </rPr>
      <t xml:space="preserve">= AI </t>
    </r>
    <r>
      <rPr>
        <b val="true"/>
        <sz val="10"/>
        <rFont val="WenQuanYi Zen Hei"/>
        <family val="2"/>
      </rPr>
      <t xml:space="preserve">辅助；绿色第 </t>
    </r>
    <r>
      <rPr>
        <b val="true"/>
        <sz val="10"/>
        <rFont val="Arial"/>
        <family val="0"/>
        <charset val="1"/>
      </rPr>
      <t xml:space="preserve">5 </t>
    </r>
    <r>
      <rPr>
        <b val="true"/>
        <sz val="10"/>
        <rFont val="WenQuanYi Zen Hei"/>
        <family val="2"/>
      </rPr>
      <t xml:space="preserve">行 </t>
    </r>
    <r>
      <rPr>
        <b val="true"/>
        <sz val="10"/>
        <rFont val="Arial"/>
        <family val="0"/>
        <charset val="1"/>
      </rPr>
      <t xml:space="preserve">= </t>
    </r>
    <r>
      <rPr>
        <b val="true"/>
        <sz val="10"/>
        <rFont val="WenQuanYi Zen Hei"/>
        <family val="2"/>
      </rPr>
      <t xml:space="preserve">示例（虚构案件，不计入统计）。数据从第 </t>
    </r>
    <r>
      <rPr>
        <b val="true"/>
        <sz val="10"/>
        <rFont val="Arial"/>
        <family val="0"/>
        <charset val="1"/>
      </rPr>
      <t xml:space="preserve">6 </t>
    </r>
    <r>
      <rPr>
        <b val="true"/>
        <sz val="10"/>
        <rFont val="WenQuanYi Zen Hei"/>
        <family val="2"/>
      </rPr>
      <t xml:space="preserve">行开始；多值用 </t>
    </r>
    <r>
      <rPr>
        <b val="true"/>
        <sz val="10"/>
        <rFont val="Arial"/>
        <family val="0"/>
        <charset val="1"/>
      </rPr>
      <t xml:space="preserve">'; ' </t>
    </r>
    <r>
      <rPr>
        <b val="true"/>
        <sz val="10"/>
        <rFont val="WenQuanYi Zen Hei"/>
        <family val="2"/>
      </rPr>
      <t xml:space="preserve">分隔。盲标时折叠 </t>
    </r>
    <r>
      <rPr>
        <b val="true"/>
        <sz val="10"/>
        <rFont val="Arial"/>
        <family val="0"/>
        <charset val="1"/>
      </rPr>
      <t xml:space="preserve">INPUT </t>
    </r>
    <r>
      <rPr>
        <b val="true"/>
        <sz val="10"/>
        <rFont val="WenQuanYi Zen Hei"/>
        <family val="2"/>
      </rPr>
      <t xml:space="preserve">组最后 </t>
    </r>
    <r>
      <rPr>
        <b val="true"/>
        <sz val="10"/>
        <rFont val="Arial"/>
        <family val="0"/>
        <charset val="1"/>
      </rPr>
      <t xml:space="preserve">6 </t>
    </r>
    <r>
      <rPr>
        <b val="true"/>
        <sz val="10"/>
        <rFont val="WenQuanYi Zen Hei"/>
        <family val="2"/>
      </rPr>
      <t xml:space="preserve">列。</t>
    </r>
  </si>
  <si>
    <r>
      <rPr>
        <b val="true"/>
        <sz val="10"/>
        <color rgb="FFFFFFFF"/>
        <rFont val="Arial"/>
        <family val="0"/>
        <charset val="1"/>
      </rPr>
      <t xml:space="preserve">INPUT </t>
    </r>
    <r>
      <rPr>
        <b val="true"/>
        <sz val="10"/>
        <color rgb="FFFFFFFF"/>
        <rFont val="WenQuanYi Zen Hei"/>
        <family val="2"/>
      </rPr>
      <t xml:space="preserve">输入列（原始材料）</t>
    </r>
  </si>
  <si>
    <r>
      <rPr>
        <b val="true"/>
        <sz val="10"/>
        <color rgb="FFFFFFFF"/>
        <rFont val="Arial"/>
        <family val="0"/>
        <charset val="1"/>
      </rPr>
      <t xml:space="preserve">ANSWER </t>
    </r>
    <r>
      <rPr>
        <b val="true"/>
        <sz val="10"/>
        <color rgb="FFFFFFFF"/>
        <rFont val="WenQuanYi Zen Hei"/>
        <family val="2"/>
      </rPr>
      <t xml:space="preserve">标准答案列（人工判断）</t>
    </r>
  </si>
  <si>
    <r>
      <rPr>
        <b val="true"/>
        <sz val="10"/>
        <color rgb="FFFFFFFF"/>
        <rFont val="Arial"/>
        <family val="0"/>
        <charset val="1"/>
      </rPr>
      <t xml:space="preserve">BASIS </t>
    </r>
    <r>
      <rPr>
        <b val="true"/>
        <sz val="10"/>
        <color rgb="FFFFFFFF"/>
        <rFont val="WenQuanYi Zen Hei"/>
        <family val="2"/>
      </rPr>
      <t xml:space="preserve">依据列（用了哪个文件、哪条规则）</t>
    </r>
  </si>
  <si>
    <r>
      <rPr>
        <b val="true"/>
        <sz val="10"/>
        <color rgb="FFFFFFFF"/>
        <rFont val="Arial"/>
        <family val="0"/>
        <charset val="1"/>
      </rPr>
      <t xml:space="preserve">RELATION </t>
    </r>
    <r>
      <rPr>
        <b val="true"/>
        <sz val="10"/>
        <color rgb="FFFFFFFF"/>
        <rFont val="WenQuanYi Zen Hei"/>
        <family val="2"/>
      </rPr>
      <t xml:space="preserve">关联列（与哪条案件有关）</t>
    </r>
  </si>
  <si>
    <r>
      <rPr>
        <b val="true"/>
        <sz val="10"/>
        <color rgb="FFFFFFFF"/>
        <rFont val="Arial"/>
        <family val="0"/>
        <charset val="1"/>
      </rPr>
      <t xml:space="preserve">PROCESS </t>
    </r>
    <r>
      <rPr>
        <b val="true"/>
        <sz val="10"/>
        <color rgb="FFFFFFFF"/>
        <rFont val="WenQuanYi Zen Hei"/>
        <family val="2"/>
      </rPr>
      <t xml:space="preserve">过程列</t>
    </r>
  </si>
  <si>
    <r>
      <rPr>
        <i val="true"/>
        <sz val="9"/>
        <color rgb="FF595959"/>
        <rFont val="Arial"/>
        <family val="0"/>
        <charset val="1"/>
      </rPr>
      <t xml:space="preserve">FORMULA · </t>
    </r>
    <r>
      <rPr>
        <i val="true"/>
        <sz val="9"/>
        <color rgb="FF595959"/>
        <rFont val="WenQuanYi Zen Hei"/>
        <family val="2"/>
      </rPr>
      <t xml:space="preserve">盲标隐藏</t>
    </r>
  </si>
  <si>
    <r>
      <rPr>
        <i val="true"/>
        <sz val="9"/>
        <color rgb="FF595959"/>
        <rFont val="Arial"/>
        <family val="0"/>
        <charset val="1"/>
      </rPr>
      <t xml:space="preserve">AUTO · </t>
    </r>
    <r>
      <rPr>
        <i val="true"/>
        <sz val="9"/>
        <color rgb="FF595959"/>
        <rFont val="WenQuanYi Zen Hei"/>
        <family val="2"/>
      </rPr>
      <t xml:space="preserve">盲标隐藏</t>
    </r>
  </si>
  <si>
    <r>
      <rPr>
        <i val="true"/>
        <sz val="9"/>
        <color rgb="FF595959"/>
        <rFont val="Arial"/>
        <family val="0"/>
        <charset val="1"/>
      </rPr>
      <t xml:space="preserve">AI_OK · </t>
    </r>
    <r>
      <rPr>
        <i val="true"/>
        <sz val="9"/>
        <color rgb="FF595959"/>
        <rFont val="WenQuanYi Zen Hei"/>
        <family val="2"/>
      </rPr>
      <t xml:space="preserve">盲标隐藏</t>
    </r>
  </si>
  <si>
    <t xml:space="preserve">DISP-002</t>
  </si>
  <si>
    <t xml:space="preserve">ORGANIZER</t>
  </si>
  <si>
    <t xml:space="preserve">ORGANIZER_PUBLIC</t>
  </si>
  <si>
    <t xml:space="preserve">SEED-DISP-002</t>
  </si>
  <si>
    <t xml:space="preserve">organizer_case</t>
  </si>
  <si>
    <t xml:space="preserve">no_show_charge</t>
  </si>
  <si>
    <t xml:space="preserve">I was at the pickup point at Tiong Bahru Plaza on time but the driver never showed up. I waited 10 minutes at the lobby and couldn't find the car. The app charged me a $5.00 cancellation fee for a 'no-show' which is completely unfair — I was there, the driver was not. I want the charge reversed immediately.</t>
  </si>
  <si>
    <t xml:space="preserve">UNKNOWN</t>
  </si>
  <si>
    <t xml:space="preserve">E_WALLET</t>
  </si>
  <si>
    <t xml:space="preserve">rider_no_show</t>
  </si>
  <si>
    <t xml:space="preserve">Tiong Bahru Plaza</t>
  </si>
  <si>
    <t xml:space="preserve">KB-0.2.0</t>
  </si>
  <si>
    <r>
      <rPr>
        <b val="true"/>
        <sz val="14"/>
        <rFont val="WenQuanYi Zen Hei"/>
        <family val="2"/>
      </rPr>
      <t xml:space="preserve">覆盖检查（</t>
    </r>
    <r>
      <rPr>
        <b val="true"/>
        <sz val="14"/>
        <rFont val="Arial"/>
        <family val="0"/>
        <charset val="1"/>
      </rPr>
      <t xml:space="preserve">ONT.6</t>
    </r>
    <r>
      <rPr>
        <b val="true"/>
        <sz val="14"/>
        <rFont val="WenQuanYi Zen Hei"/>
        <family val="2"/>
      </rPr>
      <t xml:space="preserve">：每条规则至少一个样本触发，结果类规则至少一次起决定作用；每个类型、决策表行、标记都要有样本）</t>
    </r>
  </si>
  <si>
    <r>
      <rPr>
        <i val="true"/>
        <sz val="9"/>
        <color rgb="FF595959"/>
        <rFont val="WenQuanYi Zen Hei"/>
        <family val="2"/>
      </rPr>
      <t xml:space="preserve">全部是公式，统计 标注表 第 </t>
    </r>
    <r>
      <rPr>
        <i val="true"/>
        <sz val="9"/>
        <color rgb="FF595959"/>
        <rFont val="Arial"/>
        <family val="0"/>
        <charset val="1"/>
      </rPr>
      <t xml:space="preserve">6 </t>
    </r>
    <r>
      <rPr>
        <i val="true"/>
        <sz val="9"/>
        <color rgb="FF595959"/>
        <rFont val="WenQuanYi Zen Hei"/>
        <family val="2"/>
      </rPr>
      <t xml:space="preserve">到 </t>
    </r>
    <r>
      <rPr>
        <i val="true"/>
        <sz val="9"/>
        <color rgb="FF595959"/>
        <rFont val="Arial"/>
        <family val="0"/>
        <charset val="1"/>
      </rPr>
      <t xml:space="preserve">305 </t>
    </r>
    <r>
      <rPr>
        <i val="true"/>
        <sz val="9"/>
        <color rgb="FF595959"/>
        <rFont val="WenQuanYi Zen Hei"/>
        <family val="2"/>
      </rPr>
      <t xml:space="preserve">行（不含示例行）；标注越多数字越完整</t>
    </r>
  </si>
  <si>
    <t xml:space="preserve">总体</t>
  </si>
  <si>
    <r>
      <rPr>
        <sz val="11"/>
        <color theme="1"/>
        <rFont val="WenQuanYi Zen Hei"/>
        <family val="2"/>
      </rPr>
      <t xml:space="preserve">已标注案件数（</t>
    </r>
    <r>
      <rPr>
        <sz val="11"/>
        <color theme="1"/>
        <rFont val="Arial"/>
        <family val="0"/>
        <charset val="1"/>
      </rPr>
      <t xml:space="preserve">outcome </t>
    </r>
    <r>
      <rPr>
        <sz val="11"/>
        <color theme="1"/>
        <rFont val="WenQuanYi Zen Hei"/>
        <family val="2"/>
      </rPr>
      <t xml:space="preserve">非空）</t>
    </r>
  </si>
  <si>
    <r>
      <rPr>
        <sz val="11"/>
        <color theme="1"/>
        <rFont val="WenQuanYi Zen Hei"/>
        <family val="2"/>
      </rPr>
      <t xml:space="preserve">已录入案件数（</t>
    </r>
    <r>
      <rPr>
        <sz val="11"/>
        <color theme="1"/>
        <rFont val="Arial"/>
        <family val="0"/>
        <charset val="1"/>
      </rPr>
      <t xml:space="preserve">case_id </t>
    </r>
    <r>
      <rPr>
        <sz val="11"/>
        <color theme="1"/>
        <rFont val="WenQuanYi Zen Hei"/>
        <family val="2"/>
      </rPr>
      <t xml:space="preserve">非空）</t>
    </r>
  </si>
  <si>
    <t xml:space="preserve">难例类型</t>
  </si>
  <si>
    <t xml:space="preserve">最少</t>
  </si>
  <si>
    <t xml:space="preserve">已有</t>
  </si>
  <si>
    <t xml:space="preserve">状态</t>
  </si>
  <si>
    <t xml:space="preserve">MISSING_INFO</t>
  </si>
  <si>
    <t xml:space="preserve">&gt;= 4 (no trip_id; two candidate trips; booking type missing; no driver GPS during the wait)</t>
  </si>
  <si>
    <t xml:space="preserve">NEGATIVE</t>
  </si>
  <si>
    <t xml:space="preserve">&gt;= 6 (lost item, rating complaint, how-to-tip question, fee question only, valid fee correctly charged, duplicate submission)</t>
  </si>
  <si>
    <t xml:space="preserve">VAGUE</t>
  </si>
  <si>
    <t xml:space="preserve">&gt;= 3 (for example 'the app charged me weird')</t>
  </si>
  <si>
    <t xml:space="preserve">STATE_UPDATE</t>
  </si>
  <si>
    <t xml:space="preserve">&gt;= 4 (duplicate, update with new evidence, appeal of an automatic ruling, counter-claim by the driver)</t>
  </si>
  <si>
    <t xml:space="preserve">BOUNDARY</t>
  </si>
  <si>
    <t xml:space="preserve">&gt;= 9 (wait margin -31, -30, -1, 0, +1, +30 s; ping gap at PING_MAX_GAP_S -1, 0, +1 s; an outside stretch just under and just over LEFT_MIN_OUTSIDE_S; a single outside ping with sparse and with dense sampling; a last outside ping with no return; an outside ping inside and just outside TS_TOLERANCE_S of the window end; an impossible jump; pings that do not line up with the wait start; an arrival mark before the first GPS confirmation; leaving just before and just after the threshold; detour ratio 1.19 and 1.20)</t>
  </si>
  <si>
    <t xml:space="preserve">CONFLICT</t>
  </si>
  <si>
    <t xml:space="preserve">&gt;= 4 (platform arrival check vs a far ping; A/B sources beyond tolerance; rider strong evidence vs an established no-show; pin far from the venue with the rider at the venue)</t>
  </si>
  <si>
    <t xml:space="preserve">BAD_FAITH</t>
  </si>
  <si>
    <t xml:space="preserve">&gt;= 4 (two rider abuse, two driver fee-farming or ERP overstatement)</t>
  </si>
  <si>
    <t xml:space="preserve">ADVERSARIAL</t>
  </si>
  <si>
    <t xml:space="preserve">&gt;= 4 (instruction injected in description, in chat, fake JSON, other language)</t>
  </si>
  <si>
    <t xml:space="preserve">每个争议类型（主项）</t>
  </si>
  <si>
    <t xml:space="preserve">类型</t>
  </si>
  <si>
    <t xml:space="preserve">范围</t>
  </si>
  <si>
    <t xml:space="preserve">主项案件数</t>
  </si>
  <si>
    <t xml:space="preserve">要求</t>
  </si>
  <si>
    <t xml:space="preserve">CW-NOSHOW</t>
  </si>
  <si>
    <t xml:space="preserve">ADJUDICATE</t>
  </si>
  <si>
    <t xml:space="preserve">CW-WAITING</t>
  </si>
  <si>
    <t xml:space="preserve">CW-DRIVERNOSHOW</t>
  </si>
  <si>
    <t xml:space="preserve">BACKLOG</t>
  </si>
  <si>
    <t xml:space="preserve">CW-FEEMISSED</t>
  </si>
  <si>
    <t xml:space="preserve">CW-OTHER</t>
  </si>
  <si>
    <t xml:space="preserve">FC-ROUTE</t>
  </si>
  <si>
    <t xml:space="preserve">FC-TOLL</t>
  </si>
  <si>
    <t xml:space="preserve">FC-DEST</t>
  </si>
  <si>
    <t xml:space="preserve">ADJUDICATE_WITH_APPROVAL</t>
  </si>
  <si>
    <t xml:space="preserve">FC-NOPICKUP</t>
  </si>
  <si>
    <t xml:space="preserve">FC-SURCHARGE</t>
  </si>
  <si>
    <t xml:space="preserve">FC-PAYMENT</t>
  </si>
  <si>
    <t xml:space="preserve">FC-TIP</t>
  </si>
  <si>
    <t xml:space="preserve">FC-SURGE</t>
  </si>
  <si>
    <t xml:space="preserve">FC-PROMO</t>
  </si>
  <si>
    <t xml:space="preserve">FC-FAREMISMATCH</t>
  </si>
  <si>
    <t xml:space="preserve">FC-DRIVERCHARGE</t>
  </si>
  <si>
    <t xml:space="preserve">FC-OTHER</t>
  </si>
  <si>
    <t xml:space="preserve">DM-CLEANING</t>
  </si>
  <si>
    <t xml:space="preserve">DM-DAMAGE</t>
  </si>
  <si>
    <t xml:space="preserve">TRIAGE_TO_HUMAN</t>
  </si>
  <si>
    <t xml:space="preserve">DM-OTHER</t>
  </si>
  <si>
    <t xml:space="preserve">SE-CONDUCT</t>
  </si>
  <si>
    <t xml:space="preserve">SE-DRIVING</t>
  </si>
  <si>
    <t xml:space="preserve">SE-MISMATCH</t>
  </si>
  <si>
    <t xml:space="preserve">SE-ACCIDENT</t>
  </si>
  <si>
    <t xml:space="preserve">SE-RECORDING</t>
  </si>
  <si>
    <t xml:space="preserve">SE-TERMINATED</t>
  </si>
  <si>
    <t xml:space="preserve">SE-OTHER</t>
  </si>
  <si>
    <t xml:space="preserve">EX-LOST</t>
  </si>
  <si>
    <t xml:space="preserve">ROUTE_TO_SUPPORT</t>
  </si>
  <si>
    <t xml:space="preserve">EX-RATING</t>
  </si>
  <si>
    <t xml:space="preserve">EX-FEEDBACK</t>
  </si>
  <si>
    <t xml:space="preserve">EX-LOCATION</t>
  </si>
  <si>
    <t xml:space="preserve">EX-APP</t>
  </si>
  <si>
    <t xml:space="preserve">EX-OTHER</t>
  </si>
  <si>
    <t xml:space="preserve">OT-OTHER</t>
  </si>
  <si>
    <r>
      <rPr>
        <b val="true"/>
        <sz val="11"/>
        <color rgb="FF1F4E78"/>
        <rFont val="WenQuanYi Zen Hei"/>
        <family val="2"/>
      </rPr>
      <t xml:space="preserve">每条规则（决定性 </t>
    </r>
    <r>
      <rPr>
        <b val="true"/>
        <sz val="11"/>
        <color rgb="FF1F4E78"/>
        <rFont val="Arial"/>
        <family val="0"/>
        <charset val="1"/>
      </rPr>
      <t xml:space="preserve">= decisive_rule_primary</t>
    </r>
    <r>
      <rPr>
        <b val="true"/>
        <sz val="11"/>
        <color rgb="FF1F4E78"/>
        <rFont val="WenQuanYi Zen Hei"/>
        <family val="2"/>
      </rPr>
      <t xml:space="preserve">；被引用 </t>
    </r>
    <r>
      <rPr>
        <b val="true"/>
        <sz val="11"/>
        <color rgb="FF1F4E78"/>
        <rFont val="Arial"/>
        <family val="0"/>
        <charset val="1"/>
      </rPr>
      <t xml:space="preserve">= </t>
    </r>
    <r>
      <rPr>
        <b val="true"/>
        <sz val="11"/>
        <color rgb="FF1F4E78"/>
        <rFont val="WenQuanYi Zen Hei"/>
        <family val="2"/>
      </rPr>
      <t xml:space="preserve">决定性或 </t>
    </r>
    <r>
      <rPr>
        <b val="true"/>
        <sz val="11"/>
        <color rgb="FF1F4E78"/>
        <rFont val="Arial"/>
        <family val="0"/>
        <charset val="1"/>
      </rPr>
      <t xml:space="preserve">supporting_rules </t>
    </r>
    <r>
      <rPr>
        <b val="true"/>
        <sz val="11"/>
        <color rgb="FF1F4E78"/>
        <rFont val="WenQuanYi Zen Hei"/>
        <family val="2"/>
      </rPr>
      <t xml:space="preserve">里出现）</t>
    </r>
  </si>
  <si>
    <t xml:space="preserve">规则</t>
  </si>
  <si>
    <t xml:space="preserve">决定性次数</t>
  </si>
  <si>
    <t xml:space="preserve">被引用次数</t>
  </si>
  <si>
    <t xml:space="preserve">META-01</t>
  </si>
  <si>
    <t xml:space="preserve">meta</t>
  </si>
  <si>
    <r>
      <rPr>
        <sz val="11"/>
        <color theme="1"/>
        <rFont val="WenQuanYi Zen Hei"/>
        <family val="2"/>
      </rPr>
      <t xml:space="preserve">被引用至少 </t>
    </r>
    <r>
      <rPr>
        <sz val="11"/>
        <color theme="1"/>
        <rFont val="Arial"/>
        <family val="0"/>
        <charset val="1"/>
      </rPr>
      <t xml:space="preserve">1 </t>
    </r>
    <r>
      <rPr>
        <sz val="11"/>
        <color theme="1"/>
        <rFont val="WenQuanYi Zen Hei"/>
        <family val="2"/>
      </rPr>
      <t xml:space="preserve">次</t>
    </r>
  </si>
  <si>
    <t xml:space="preserve">META-02</t>
  </si>
  <si>
    <t xml:space="preserve">META-03</t>
  </si>
  <si>
    <t xml:space="preserve">META-04</t>
  </si>
  <si>
    <t xml:space="preserve">META-05</t>
  </si>
  <si>
    <t xml:space="preserve">CLS-01</t>
  </si>
  <si>
    <t xml:space="preserve">classification</t>
  </si>
  <si>
    <t xml:space="preserve">CLS-02</t>
  </si>
  <si>
    <t xml:space="preserve">CLS-03</t>
  </si>
  <si>
    <t xml:space="preserve">CLS-04</t>
  </si>
  <si>
    <t xml:space="preserve">CLS-05</t>
  </si>
  <si>
    <t xml:space="preserve">CLS-06</t>
  </si>
  <si>
    <t xml:space="preserve">MAT-01</t>
  </si>
  <si>
    <t xml:space="preserve">matching</t>
  </si>
  <si>
    <t xml:space="preserve">MAT-02</t>
  </si>
  <si>
    <t xml:space="preserve">MAT-03</t>
  </si>
  <si>
    <t xml:space="preserve">procedural</t>
  </si>
  <si>
    <t xml:space="preserve">MAT-04</t>
  </si>
  <si>
    <t xml:space="preserve">eligibility</t>
  </si>
  <si>
    <t xml:space="preserve">DQ-01</t>
  </si>
  <si>
    <t xml:space="preserve">data_quality</t>
  </si>
  <si>
    <t xml:space="preserve">DQ-02</t>
  </si>
  <si>
    <t xml:space="preserve">DQ-03</t>
  </si>
  <si>
    <t xml:space="preserve">DQ-04</t>
  </si>
  <si>
    <t xml:space="preserve">DQ-05</t>
  </si>
  <si>
    <t xml:space="preserve">DQ-06</t>
  </si>
  <si>
    <t xml:space="preserve">CW-F01</t>
  </si>
  <si>
    <t xml:space="preserve">fact</t>
  </si>
  <si>
    <t xml:space="preserve">CW-F02</t>
  </si>
  <si>
    <t xml:space="preserve">CW-F02B</t>
  </si>
  <si>
    <t xml:space="preserve">CW-F03</t>
  </si>
  <si>
    <t xml:space="preserve">CW-F03B</t>
  </si>
  <si>
    <t xml:space="preserve">CW-F04</t>
  </si>
  <si>
    <t xml:space="preserve">CW-F04B</t>
  </si>
  <si>
    <t xml:space="preserve">CW-F05</t>
  </si>
  <si>
    <t xml:space="preserve">CW-F06</t>
  </si>
  <si>
    <t xml:space="preserve">CW-F07</t>
  </si>
  <si>
    <t xml:space="preserve">CW-R00</t>
  </si>
  <si>
    <t xml:space="preserve">CW-R02</t>
  </si>
  <si>
    <t xml:space="preserve">CW-R03</t>
  </si>
  <si>
    <r>
      <rPr>
        <sz val="11"/>
        <color theme="1"/>
        <rFont val="WenQuanYi Zen Hei"/>
        <family val="2"/>
      </rPr>
      <t xml:space="preserve">决定性至少 </t>
    </r>
    <r>
      <rPr>
        <sz val="11"/>
        <color theme="1"/>
        <rFont val="Arial"/>
        <family val="0"/>
        <charset val="1"/>
      </rPr>
      <t xml:space="preserve">1 </t>
    </r>
    <r>
      <rPr>
        <sz val="11"/>
        <color theme="1"/>
        <rFont val="WenQuanYi Zen Hei"/>
        <family val="2"/>
      </rPr>
      <t xml:space="preserve">次</t>
    </r>
  </si>
  <si>
    <t xml:space="preserve">CW-R04</t>
  </si>
  <si>
    <t xml:space="preserve">CW-R05</t>
  </si>
  <si>
    <t xml:space="preserve">CW-R06</t>
  </si>
  <si>
    <t xml:space="preserve">CW-R07</t>
  </si>
  <si>
    <t xml:space="preserve">CW-R08</t>
  </si>
  <si>
    <t xml:space="preserve">CW-R09</t>
  </si>
  <si>
    <t xml:space="preserve">remedy</t>
  </si>
  <si>
    <t xml:space="preserve">CW-R10</t>
  </si>
  <si>
    <t xml:space="preserve">CW-R11</t>
  </si>
  <si>
    <t xml:space="preserve">CW-R12</t>
  </si>
  <si>
    <t xml:space="preserve">FC-F01</t>
  </si>
  <si>
    <t xml:space="preserve">FC-F02</t>
  </si>
  <si>
    <t xml:space="preserve">FC-F03</t>
  </si>
  <si>
    <t xml:space="preserve">FC-F04</t>
  </si>
  <si>
    <t xml:space="preserve">FC-R00</t>
  </si>
  <si>
    <t xml:space="preserve">FC-R01</t>
  </si>
  <si>
    <t xml:space="preserve">FC-R02</t>
  </si>
  <si>
    <t xml:space="preserve">FC-R03</t>
  </si>
  <si>
    <t xml:space="preserve">FC-R04</t>
  </si>
  <si>
    <t xml:space="preserve">FC-R05</t>
  </si>
  <si>
    <t xml:space="preserve">FC-R06</t>
  </si>
  <si>
    <t xml:space="preserve">FC-R07</t>
  </si>
  <si>
    <t xml:space="preserve">FC-R08</t>
  </si>
  <si>
    <t xml:space="preserve">FC-R09</t>
  </si>
  <si>
    <t xml:space="preserve">FC-R10</t>
  </si>
  <si>
    <t xml:space="preserve">FC-R11</t>
  </si>
  <si>
    <t xml:space="preserve">FC-R12</t>
  </si>
  <si>
    <t xml:space="preserve">DM-R01</t>
  </si>
  <si>
    <t xml:space="preserve">DM-R02</t>
  </si>
  <si>
    <t xml:space="preserve">DM-R03</t>
  </si>
  <si>
    <t xml:space="preserve">DM-R04</t>
  </si>
  <si>
    <t xml:space="preserve">authority</t>
  </si>
  <si>
    <t xml:space="preserve">DM-R05</t>
  </si>
  <si>
    <t xml:space="preserve">DM-R06</t>
  </si>
  <si>
    <t xml:space="preserve">SE-R01</t>
  </si>
  <si>
    <t xml:space="preserve">SE-R02</t>
  </si>
  <si>
    <t xml:space="preserve">SE-R03</t>
  </si>
  <si>
    <t xml:space="preserve">SE-R04</t>
  </si>
  <si>
    <t xml:space="preserve">GEN-R01</t>
  </si>
  <si>
    <t xml:space="preserve">GEN-R02</t>
  </si>
  <si>
    <t xml:space="preserve">GEN-R03</t>
  </si>
  <si>
    <t xml:space="preserve">GEN-R04</t>
  </si>
  <si>
    <t xml:space="preserve">GEN-R05</t>
  </si>
  <si>
    <t xml:space="preserve">GEN-R06</t>
  </si>
  <si>
    <t xml:space="preserve">GEN-R07</t>
  </si>
  <si>
    <t xml:space="preserve">FRD-01</t>
  </si>
  <si>
    <t xml:space="preserve">fraud</t>
  </si>
  <si>
    <t xml:space="preserve">FRD-02</t>
  </si>
  <si>
    <t xml:space="preserve">AUTH-00</t>
  </si>
  <si>
    <t xml:space="preserve">AUTH-01</t>
  </si>
  <si>
    <t xml:space="preserve">AUTH-02</t>
  </si>
  <si>
    <t xml:space="preserve">AUTH-03</t>
  </si>
  <si>
    <t xml:space="preserve">AUTH-04</t>
  </si>
  <si>
    <t xml:space="preserve">AUTH-05</t>
  </si>
  <si>
    <t xml:space="preserve">AUTH-06</t>
  </si>
  <si>
    <t xml:space="preserve">EXP-01</t>
  </si>
  <si>
    <t xml:space="preserve">explanation</t>
  </si>
  <si>
    <t xml:space="preserve">EXP-02</t>
  </si>
  <si>
    <t xml:space="preserve">EXP-03</t>
  </si>
  <si>
    <r>
      <rPr>
        <b val="true"/>
        <sz val="11"/>
        <color rgb="FF1F4E78"/>
        <rFont val="WenQuanYi Zen Hei"/>
        <family val="2"/>
      </rPr>
      <t xml:space="preserve">决策表 </t>
    </r>
    <r>
      <rPr>
        <b val="true"/>
        <sz val="11"/>
        <color rgb="FF1F4E78"/>
        <rFont val="Arial"/>
        <family val="0"/>
        <charset val="1"/>
      </rPr>
      <t xml:space="preserve">DT-CW-NOSHOW </t>
    </r>
    <r>
      <rPr>
        <b val="true"/>
        <sz val="11"/>
        <color rgb="FF1F4E78"/>
        <rFont val="WenQuanYi Zen Hei"/>
        <family val="2"/>
      </rPr>
      <t xml:space="preserve">每一行</t>
    </r>
  </si>
  <si>
    <t xml:space="preserve">行</t>
  </si>
  <si>
    <t xml:space="preserve">案件数</t>
  </si>
  <si>
    <t xml:space="preserve">R1</t>
  </si>
  <si>
    <t xml:space="preserve">R2</t>
  </si>
  <si>
    <t xml:space="preserve">R3</t>
  </si>
  <si>
    <t xml:space="preserve">R4</t>
  </si>
  <si>
    <t xml:space="preserve">R5</t>
  </si>
  <si>
    <t xml:space="preserve">R6</t>
  </si>
  <si>
    <t xml:space="preserve">R7</t>
  </si>
  <si>
    <t xml:space="preserve">R8</t>
  </si>
  <si>
    <t xml:space="preserve">R9</t>
  </si>
  <si>
    <t xml:space="preserve">R10</t>
  </si>
  <si>
    <t xml:space="preserve">R11</t>
  </si>
  <si>
    <r>
      <rPr>
        <b val="true"/>
        <sz val="11"/>
        <color rgb="FF1F4E78"/>
        <rFont val="WenQuanYi Zen Hei"/>
        <family val="2"/>
      </rPr>
      <t xml:space="preserve">每个标记（</t>
    </r>
    <r>
      <rPr>
        <b val="true"/>
        <sz val="11"/>
        <color rgb="FF1F4E78"/>
        <rFont val="Arial"/>
        <family val="0"/>
        <charset val="1"/>
      </rPr>
      <t xml:space="preserve">required_flags </t>
    </r>
    <r>
      <rPr>
        <b val="true"/>
        <sz val="11"/>
        <color rgb="FF1F4E78"/>
        <rFont val="WenQuanYi Zen Hei"/>
        <family val="2"/>
      </rPr>
      <t xml:space="preserve">里出现）</t>
    </r>
  </si>
  <si>
    <t xml:space="preserve">标记</t>
  </si>
  <si>
    <t xml:space="preserve">BOUNDARY_MARGIN</t>
  </si>
  <si>
    <t xml:space="preserve">TIMER_ANCHOR_MISMATCH</t>
  </si>
  <si>
    <t xml:space="preserve">BOOKING_TYPE_INFERRED</t>
  </si>
  <si>
    <t xml:space="preserve">PIN_VENUE_MISMATCH</t>
  </si>
  <si>
    <t xml:space="preserve">SPARSE_GPS</t>
  </si>
  <si>
    <t xml:space="preserve">SPEED_INCONSISTENT</t>
  </si>
  <si>
    <t xml:space="preserve">NO_RIDER_EVIDENCE</t>
  </si>
  <si>
    <t xml:space="preserve">SOURCE_CONFLICT</t>
  </si>
  <si>
    <t xml:space="preserve">GENERIC_ASSUMPTION_USED</t>
  </si>
  <si>
    <t xml:space="preserve">INJECTION_SUSPECTED</t>
  </si>
  <si>
    <t xml:space="preserve">FRAUD_SIGNAL</t>
  </si>
  <si>
    <t xml:space="preserve">OUT_OF_WINDOW</t>
  </si>
  <si>
    <t xml:space="preserve">CONTACT_NOT_ATTEMPTED</t>
  </si>
  <si>
    <t xml:space="preserve">CHARGE_AMOUNT_MISMATCH</t>
  </si>
  <si>
    <t xml:space="preserve">MARGIN_WITHIN_SPREAD</t>
  </si>
  <si>
    <t xml:space="preserve">RECORDS_MISSING</t>
  </si>
  <si>
    <t xml:space="preserve">GPS_OUTLIER</t>
  </si>
  <si>
    <t xml:space="preserve">GPS_AMBIGUOUS</t>
  </si>
  <si>
    <t xml:space="preserve">GPS_DATA_ERROR</t>
  </si>
  <si>
    <t xml:space="preserve">ARRIVAL_UNCONFIRMED</t>
  </si>
  <si>
    <t xml:space="preserve">OTHER</t>
  </si>
  <si>
    <t xml:space="preserve">每个结果</t>
  </si>
  <si>
    <t xml:space="preserve">结果</t>
  </si>
  <si>
    <t xml:space="preserve">UPHOLD</t>
  </si>
  <si>
    <t xml:space="preserve">PARTIAL_REFUND</t>
  </si>
  <si>
    <t xml:space="preserve">FULL_REFUND</t>
  </si>
  <si>
    <t xml:space="preserve">TOLL_REFUND</t>
  </si>
  <si>
    <t xml:space="preserve">COMPENSATE_DRIVER</t>
  </si>
  <si>
    <t xml:space="preserve">GOODWILL_CREDIT</t>
  </si>
  <si>
    <t xml:space="preserve">ESCALATE_HUMAN</t>
  </si>
  <si>
    <t xml:space="preserve">REQUEST_INFO</t>
  </si>
  <si>
    <t xml:space="preserve">MERGE_DUPLICATE</t>
  </si>
  <si>
    <t xml:space="preserve">每个自治等级</t>
  </si>
  <si>
    <t xml:space="preserve">等级</t>
  </si>
  <si>
    <t xml:space="preserve">APPROVE</t>
  </si>
  <si>
    <r>
      <rPr>
        <b val="true"/>
        <sz val="11"/>
        <color rgb="FF1F4E78"/>
        <rFont val="WenQuanYi Zen Hei"/>
        <family val="2"/>
      </rPr>
      <t xml:space="preserve">一致性（目标都是 </t>
    </r>
    <r>
      <rPr>
        <b val="true"/>
        <sz val="11"/>
        <color rgb="FF1F4E78"/>
        <rFont val="Arial"/>
        <family val="0"/>
        <charset val="1"/>
      </rPr>
      <t xml:space="preserve">0</t>
    </r>
    <r>
      <rPr>
        <b val="true"/>
        <sz val="11"/>
        <color rgb="FF1F4E78"/>
        <rFont val="WenQuanYi Zen Hei"/>
        <family val="2"/>
      </rPr>
      <t xml:space="preserve">）</t>
    </r>
  </si>
  <si>
    <t xml:space="preserve">检查</t>
  </si>
  <si>
    <t xml:space="preserve">行数</t>
  </si>
  <si>
    <r>
      <rPr>
        <sz val="11"/>
        <color theme="1"/>
        <rFont val="WenQuanYi Zen Hei"/>
        <family val="2"/>
      </rPr>
      <t xml:space="preserve">结果是 </t>
    </r>
    <r>
      <rPr>
        <sz val="11"/>
        <color theme="1"/>
        <rFont val="Arial"/>
        <family val="0"/>
        <charset val="1"/>
      </rPr>
      <t xml:space="preserve">ESCALATE_HUMAN </t>
    </r>
    <r>
      <rPr>
        <sz val="11"/>
        <color theme="1"/>
        <rFont val="WenQuanYi Zen Hei"/>
        <family val="2"/>
      </rPr>
      <t xml:space="preserve">但自治等级不是 </t>
    </r>
    <r>
      <rPr>
        <sz val="11"/>
        <color theme="1"/>
        <rFont val="Arial"/>
        <family val="0"/>
        <charset val="1"/>
      </rPr>
      <t xml:space="preserve">HUMAN</t>
    </r>
    <r>
      <rPr>
        <sz val="11"/>
        <color theme="1"/>
        <rFont val="WenQuanYi Zen Hei"/>
        <family val="2"/>
      </rPr>
      <t xml:space="preserve">（</t>
    </r>
    <r>
      <rPr>
        <sz val="11"/>
        <color theme="1"/>
        <rFont val="Arial"/>
        <family val="0"/>
        <charset val="1"/>
      </rPr>
      <t xml:space="preserve">AUTH-06</t>
    </r>
    <r>
      <rPr>
        <sz val="11"/>
        <color theme="1"/>
        <rFont val="WenQuanYi Zen Hei"/>
        <family val="2"/>
      </rPr>
      <t xml:space="preserve">）</t>
    </r>
  </si>
  <si>
    <r>
      <rPr>
        <sz val="11"/>
        <color theme="1"/>
        <rFont val="Arial"/>
        <family val="0"/>
        <charset val="1"/>
      </rPr>
      <t xml:space="preserve">escalate </t>
    </r>
    <r>
      <rPr>
        <sz val="11"/>
        <color theme="1"/>
        <rFont val="WenQuanYi Zen Hei"/>
        <family val="2"/>
      </rPr>
      <t xml:space="preserve">为 </t>
    </r>
    <r>
      <rPr>
        <sz val="11"/>
        <color theme="1"/>
        <rFont val="Arial"/>
        <family val="0"/>
        <charset val="1"/>
      </rPr>
      <t xml:space="preserve">Y </t>
    </r>
    <r>
      <rPr>
        <sz val="11"/>
        <color theme="1"/>
        <rFont val="WenQuanYi Zen Hei"/>
        <family val="2"/>
      </rPr>
      <t xml:space="preserve">但自治等级是 </t>
    </r>
    <r>
      <rPr>
        <sz val="11"/>
        <color theme="1"/>
        <rFont val="Arial"/>
        <family val="0"/>
        <charset val="1"/>
      </rPr>
      <t xml:space="preserve">AUTO</t>
    </r>
  </si>
  <si>
    <r>
      <rPr>
        <sz val="11"/>
        <color theme="1"/>
        <rFont val="Arial"/>
        <family val="0"/>
        <charset val="1"/>
      </rPr>
      <t xml:space="preserve">escalate </t>
    </r>
    <r>
      <rPr>
        <sz val="11"/>
        <color theme="1"/>
        <rFont val="WenQuanYi Zen Hei"/>
        <family val="2"/>
      </rPr>
      <t xml:space="preserve">为 </t>
    </r>
    <r>
      <rPr>
        <sz val="11"/>
        <color theme="1"/>
        <rFont val="Arial"/>
        <family val="0"/>
        <charset val="1"/>
      </rPr>
      <t xml:space="preserve">N </t>
    </r>
    <r>
      <rPr>
        <sz val="11"/>
        <color theme="1"/>
        <rFont val="WenQuanYi Zen Hei"/>
        <family val="2"/>
      </rPr>
      <t xml:space="preserve">但自治等级是 </t>
    </r>
    <r>
      <rPr>
        <sz val="11"/>
        <color theme="1"/>
        <rFont val="Arial"/>
        <family val="0"/>
        <charset val="1"/>
      </rPr>
      <t xml:space="preserve">APPROVE </t>
    </r>
    <r>
      <rPr>
        <sz val="11"/>
        <color theme="1"/>
        <rFont val="WenQuanYi Zen Hei"/>
        <family val="2"/>
      </rPr>
      <t xml:space="preserve">或 </t>
    </r>
    <r>
      <rPr>
        <sz val="11"/>
        <color theme="1"/>
        <rFont val="Arial"/>
        <family val="0"/>
        <charset val="1"/>
      </rPr>
      <t xml:space="preserve">HUMAN</t>
    </r>
  </si>
  <si>
    <r>
      <rPr>
        <i val="true"/>
        <sz val="9"/>
        <color rgb="FF595959"/>
        <rFont val="WenQuanYi Zen Hei"/>
        <family val="2"/>
      </rPr>
      <t xml:space="preserve">每个实体类型至少出现一次（</t>
    </r>
    <r>
      <rPr>
        <i val="true"/>
        <sz val="9"/>
        <color rgb="FF595959"/>
        <rFont val="Arial"/>
        <family val="0"/>
        <charset val="1"/>
      </rPr>
      <t xml:space="preserve">ONT.6</t>
    </r>
    <r>
      <rPr>
        <i val="true"/>
        <sz val="9"/>
        <color rgb="FF595959"/>
        <rFont val="WenQuanYi Zen Hei"/>
        <family val="2"/>
      </rPr>
      <t xml:space="preserve">）由脚本在案件文件上检查，结果见 </t>
    </r>
    <r>
      <rPr>
        <i val="true"/>
        <sz val="9"/>
        <color rgb="FF595959"/>
        <rFont val="Arial"/>
        <family val="0"/>
        <charset val="1"/>
      </rPr>
      <t xml:space="preserve">FairRyde_KB_v0.2.xlsx </t>
    </r>
    <r>
      <rPr>
        <i val="true"/>
        <sz val="9"/>
        <color rgb="FF595959"/>
        <rFont val="WenQuanYi Zen Hei"/>
        <family val="2"/>
      </rPr>
      <t xml:space="preserve">的 </t>
    </r>
    <r>
      <rPr>
        <i val="true"/>
        <sz val="9"/>
        <color rgb="FF595959"/>
        <rFont val="Arial"/>
        <family val="0"/>
        <charset val="1"/>
      </rPr>
      <t xml:space="preserve">17_</t>
    </r>
    <r>
      <rPr>
        <i val="true"/>
        <sz val="9"/>
        <color rgb="FF595959"/>
        <rFont val="WenQuanYi Zen Hei"/>
        <family val="2"/>
      </rPr>
      <t xml:space="preserve">标注方案。</t>
    </r>
  </si>
  <si>
    <t xml:space="preserve">TX-CASE</t>
  </si>
  <si>
    <t xml:space="preserve">CW-R-NOSHOW-VALID</t>
  </si>
  <si>
    <t xml:space="preserve">FARE</t>
  </si>
  <si>
    <t xml:space="preserve">ORG-HANDBOOK</t>
  </si>
  <si>
    <t xml:space="preserve">none</t>
  </si>
  <si>
    <t xml:space="preserve">1</t>
  </si>
  <si>
    <t xml:space="preserve">MR1_IDENTITY_SWAP</t>
  </si>
  <si>
    <t xml:space="preserve">INDEPENDENT_BLIND</t>
  </si>
  <si>
    <t xml:space="preserve">CW-R-DRIVER-NOT-AT-PICKUP</t>
  </si>
  <si>
    <t xml:space="preserve">DRIVER</t>
  </si>
  <si>
    <t xml:space="preserve">CARD_REFUND</t>
  </si>
  <si>
    <t xml:space="preserve">DUPLICATE</t>
  </si>
  <si>
    <t xml:space="preserve">RYDEXL</t>
  </si>
  <si>
    <t xml:space="preserve">ADVANCE</t>
  </si>
  <si>
    <t xml:space="preserve">ORG-DISP002</t>
  </si>
  <si>
    <t xml:space="preserve">SYNTHETIC</t>
  </si>
  <si>
    <t xml:space="preserve">2</t>
  </si>
  <si>
    <t xml:space="preserve">MR2_HISTORY_FLIP</t>
  </si>
  <si>
    <t xml:space="preserve">CW-R-WAIT-SHORT</t>
  </si>
  <si>
    <t xml:space="preserve">CLAIMANT</t>
  </si>
  <si>
    <t xml:space="preserve">RYDECOINS_CREDIT</t>
  </si>
  <si>
    <t xml:space="preserve">UPDATE</t>
  </si>
  <si>
    <t xml:space="preserve">RYDEX_GO</t>
  </si>
  <si>
    <t xml:space="preserve">CASH</t>
  </si>
  <si>
    <t xml:space="preserve">driver_cancelled_other</t>
  </si>
  <si>
    <t xml:space="preserve">WAITING_FEE</t>
  </si>
  <si>
    <t xml:space="preserve">RYDE-TOU</t>
  </si>
  <si>
    <t xml:space="preserve">HELDOUT</t>
  </si>
  <si>
    <t xml:space="preserve">system_records</t>
  </si>
  <si>
    <t xml:space="preserve">3</t>
  </si>
  <si>
    <t xml:space="preserve">MR3_TIME_SHIFT</t>
  </si>
  <si>
    <t xml:space="preserve">POLICY_FIRST</t>
  </si>
  <si>
    <t xml:space="preserve">RESPONDENT</t>
  </si>
  <si>
    <t xml:space="preserve">DRIVER_WALLET_CREDIT</t>
  </si>
  <si>
    <t xml:space="preserve">APPEAL</t>
  </si>
  <si>
    <t xml:space="preserve">RYDEPOOL</t>
  </si>
  <si>
    <t xml:space="preserve">RYDECOINS</t>
  </si>
  <si>
    <t xml:space="preserve">safety_termination</t>
  </si>
  <si>
    <t xml:space="preserve">TOLL</t>
  </si>
  <si>
    <t xml:space="preserve">LTA-PDVL-OFFENCES</t>
  </si>
  <si>
    <t xml:space="preserve">MR4_IRRELEVANT_CHAT</t>
  </si>
  <si>
    <t xml:space="preserve">CW-R-ARRIVAL-UNVERIFIED</t>
  </si>
  <si>
    <t xml:space="preserve">PAYER</t>
  </si>
  <si>
    <t xml:space="preserve">NONE</t>
  </si>
  <si>
    <t xml:space="preserve">COUNTER_CLAIM</t>
  </si>
  <si>
    <t xml:space="preserve">RYDETAXI</t>
  </si>
  <si>
    <t xml:space="preserve">APPLE_PAY</t>
  </si>
  <si>
    <t xml:space="preserve">system_cancelled</t>
  </si>
  <si>
    <t xml:space="preserve">DESTINATION_FEE</t>
  </si>
  <si>
    <t xml:space="preserve">LTA-ERP-RATES</t>
  </si>
  <si>
    <t xml:space="preserve">MR5_ARRAY_SHUFFLE</t>
  </si>
  <si>
    <t xml:space="preserve">CW-R-DRIVER-LEFT</t>
  </si>
  <si>
    <t xml:space="preserve">PAYEE</t>
  </si>
  <si>
    <t xml:space="preserve">RELATED_OTHER</t>
  </si>
  <si>
    <t xml:space="preserve">RYDEPET</t>
  </si>
  <si>
    <t xml:space="preserve">ALIPAY</t>
  </si>
  <si>
    <t xml:space="preserve">other</t>
  </si>
  <si>
    <t xml:space="preserve">PLATFORM_FEE</t>
  </si>
  <si>
    <t xml:space="preserve">ONEMAP</t>
  </si>
  <si>
    <t xml:space="preserve">MR6_PARAPHRASE</t>
  </si>
  <si>
    <t xml:space="preserve">CW-R-RIDER-COUNTER-EVIDENCE</t>
  </si>
  <si>
    <t xml:space="preserve">RYDEFLASH</t>
  </si>
  <si>
    <t xml:space="preserve">CORPORATE</t>
  </si>
  <si>
    <t xml:space="preserve">TRANSACTION_FEE</t>
  </si>
  <si>
    <t xml:space="preserve">IND-GRAB-ADVANCE</t>
  </si>
  <si>
    <t xml:space="preserve">MR7_LATER_CANCEL_MONOTONE</t>
  </si>
  <si>
    <t xml:space="preserve">CW-R-PIN-AMBIGUOUS</t>
  </si>
  <si>
    <t xml:space="preserve">PLATFORM_LINKER</t>
  </si>
  <si>
    <t xml:space="preserve">RYDELUXE</t>
  </si>
  <si>
    <t xml:space="preserve">SURCHARGE</t>
  </si>
  <si>
    <t xml:space="preserve">IND-BOLT-SCHEDULED</t>
  </si>
  <si>
    <t xml:space="preserve">MR8_REMOVE_CONTACT_MONOTONE</t>
  </si>
  <si>
    <t xml:space="preserve">CW-R-WAITING-VALID</t>
  </si>
  <si>
    <t xml:space="preserve">PLATFORM_COLLECTION_AGENT</t>
  </si>
  <si>
    <t xml:space="preserve">RYDESEND</t>
  </si>
  <si>
    <t xml:space="preserve">CLEANING_FEE</t>
  </si>
  <si>
    <t xml:space="preserve">IND-DIDI-DETOUR</t>
  </si>
  <si>
    <t xml:space="preserve">MR9_INJECTION</t>
  </si>
  <si>
    <t xml:space="preserve">CW-R-WAITING-INVALID</t>
  </si>
  <si>
    <t xml:space="preserve">PLATFORM_REFUND_DECIDER</t>
  </si>
  <si>
    <t xml:space="preserve">CARPOOL</t>
  </si>
  <si>
    <t xml:space="preserve">IND-BENCHMARK-NOTES</t>
  </si>
  <si>
    <t xml:space="preserve">CW-R-RIDERCANCEL-VALID</t>
  </si>
  <si>
    <t xml:space="preserve">PLATFORM_CLEANING_VERIFIER</t>
  </si>
  <si>
    <t xml:space="preserve">RYDEHIRE</t>
  </si>
  <si>
    <t xml:space="preserve">GOV-IMDA-AGENTIC</t>
  </si>
  <si>
    <t xml:space="preserve">CW-R-DRIVER-LATE</t>
  </si>
  <si>
    <t xml:space="preserve">REVIEWER</t>
  </si>
  <si>
    <t xml:space="preserve">RYDEPLUS</t>
  </si>
  <si>
    <t xml:space="preserve">GOV-MGF2</t>
  </si>
  <si>
    <t xml:space="preserve">CW-R-OUT-OF-WINDOW</t>
  </si>
  <si>
    <t xml:space="preserve">GOV-PDPC-AI</t>
  </si>
  <si>
    <t xml:space="preserve">FC-R-FIXED-FARE</t>
  </si>
  <si>
    <t xml:space="preserve">INT-CHORDX-ONT</t>
  </si>
  <si>
    <t xml:space="preserve">FC-R-DETOUR-CONFIRMED</t>
  </si>
  <si>
    <t xml:space="preserve">FAIRRYDE-DECISIONS</t>
  </si>
  <si>
    <t xml:space="preserve">FC-R-DETOUR-JUSTIFIED</t>
  </si>
  <si>
    <t xml:space="preserve">RYDE-115000751994</t>
  </si>
  <si>
    <t xml:space="preserve">FC-R-DETOUR-BORDERLINE</t>
  </si>
  <si>
    <t xml:space="preserve">RYDE-115000752294</t>
  </si>
  <si>
    <t xml:space="preserve">FC-R-TOLL-OVERSTATED</t>
  </si>
  <si>
    <t xml:space="preserve">RYDE-115000772573</t>
  </si>
  <si>
    <t xml:space="preserve">FC-R-TOLL-FROM-DETOUR</t>
  </si>
  <si>
    <t xml:space="preserve">RYDE-115000772593</t>
  </si>
  <si>
    <t xml:space="preserve">FC-R-TOLL-VALID</t>
  </si>
  <si>
    <t xml:space="preserve">RYDE-115000772653</t>
  </si>
  <si>
    <t xml:space="preserve">FC-R-DEST-FEE-VALID</t>
  </si>
  <si>
    <t xml:space="preserve">RYDE-115000777574</t>
  </si>
  <si>
    <t xml:space="preserve">FC-R-DEST-FEE-INVALID</t>
  </si>
  <si>
    <t xml:space="preserve">RYDE-115000777594</t>
  </si>
  <si>
    <t xml:space="preserve">FC-R-NOPICKUP-CONFIRMED</t>
  </si>
  <si>
    <t xml:space="preserve">RYDE-115000777634</t>
  </si>
  <si>
    <t xml:space="preserve">FC-R-NOPICKUP-NOT-SUPPORTED</t>
  </si>
  <si>
    <t xml:space="preserve">RYDE-115000777654</t>
  </si>
  <si>
    <t xml:space="preserve">FC-R-INSUFFICIENT-DATA</t>
  </si>
  <si>
    <t xml:space="preserve">RYDE-115001438614</t>
  </si>
  <si>
    <t xml:space="preserve">DM-R-CLAIM-ELIGIBLE</t>
  </si>
  <si>
    <t xml:space="preserve">RYDE-115001438754</t>
  </si>
  <si>
    <t xml:space="preserve">DM-R-CLAIM-INELIGIBLE</t>
  </si>
  <si>
    <t xml:space="preserve">RYDE-115001438834</t>
  </si>
  <si>
    <t xml:space="preserve">SE-R-HUMAN-DECIDES</t>
  </si>
  <si>
    <t xml:space="preserve">RYDE-115001439613</t>
  </si>
  <si>
    <t xml:space="preserve">GEN-R-NOT-A-DISPUTE</t>
  </si>
  <si>
    <t xml:space="preserve">RYDE-115001439653</t>
  </si>
  <si>
    <t xml:space="preserve">GEN-R-DUPLICATE</t>
  </si>
  <si>
    <t xml:space="preserve">RYDE-115001439673</t>
  </si>
  <si>
    <t xml:space="preserve">GEN-R-NEED-INFO</t>
  </si>
  <si>
    <t xml:space="preserve">RYDE-115001439693</t>
  </si>
  <si>
    <t xml:space="preserve">GEN-R-POLICY-GAP</t>
  </si>
  <si>
    <t xml:space="preserve">RYDE-115002153414</t>
  </si>
  <si>
    <t xml:space="preserve">GEN-R-SOURCE-CONFLICT</t>
  </si>
  <si>
    <t xml:space="preserve">RYDE-15395890865561</t>
  </si>
  <si>
    <t xml:space="preserve">GEN-R-DATA-INCONSISTENT</t>
  </si>
  <si>
    <t xml:space="preserve">RYDE-16925196526489</t>
  </si>
  <si>
    <t xml:space="preserve">GEN-R-ESCALATED</t>
  </si>
  <si>
    <t xml:space="preserve">RYDE-16925303332889</t>
  </si>
  <si>
    <t xml:space="preserve">RYDE-17735760737817</t>
  </si>
  <si>
    <t xml:space="preserve">RYDE-17947433778713</t>
  </si>
  <si>
    <t xml:space="preserve">RYDE-17947803973401</t>
  </si>
  <si>
    <t xml:space="preserve">RYDE-18229758389017</t>
  </si>
  <si>
    <t xml:space="preserve">RYDE-18230047208217</t>
  </si>
  <si>
    <t xml:space="preserve">RYDE-18230398581913</t>
  </si>
  <si>
    <t xml:space="preserve">RYDE-18230595517465</t>
  </si>
  <si>
    <t xml:space="preserve">RYDE-18230620209049</t>
  </si>
  <si>
    <t xml:space="preserve">RYDE-18230787646361</t>
  </si>
  <si>
    <t xml:space="preserve">RYDE-18230876398105</t>
  </si>
  <si>
    <t xml:space="preserve">RYDE-18230976652185</t>
  </si>
  <si>
    <t xml:space="preserve">RYDE-19671307820825</t>
  </si>
  <si>
    <t xml:space="preserve">RYDE-19671402743577</t>
  </si>
  <si>
    <t xml:space="preserve">RYDE-20243885501465</t>
  </si>
  <si>
    <t xml:space="preserve">RYDE-20244064619161</t>
  </si>
  <si>
    <t xml:space="preserve">RYDE-20244103989529</t>
  </si>
  <si>
    <t xml:space="preserve">RYDE-20244107265689</t>
  </si>
  <si>
    <t xml:space="preserve">RYDE-20244161586585</t>
  </si>
  <si>
    <t xml:space="preserve">RYDE-20244181329049</t>
  </si>
  <si>
    <t xml:space="preserve">RYDE-20690825386521</t>
  </si>
  <si>
    <t xml:space="preserve">RYDE-20691147765401</t>
  </si>
  <si>
    <t xml:space="preserve">RYDE-20692560042649</t>
  </si>
  <si>
    <t xml:space="preserve">RYDE-22836370596377</t>
  </si>
  <si>
    <t xml:space="preserve">RYDE-23166255954585</t>
  </si>
  <si>
    <t xml:space="preserve">RYDE-23534478435353</t>
  </si>
  <si>
    <t xml:space="preserve">RYDE-23575142762393</t>
  </si>
  <si>
    <t xml:space="preserve">RYDE-25969395777305</t>
  </si>
  <si>
    <t xml:space="preserve">RYDE-26353570035097</t>
  </si>
  <si>
    <t xml:space="preserve">RYDE-27085468660505</t>
  </si>
  <si>
    <t xml:space="preserve">RYDE-27124861535897</t>
  </si>
  <si>
    <t xml:space="preserve">RYDE-27306553196569</t>
  </si>
  <si>
    <t xml:space="preserve">RYDE-30741244296217</t>
  </si>
  <si>
    <t xml:space="preserve">RYDE-33362721809049</t>
  </si>
  <si>
    <t xml:space="preserve">RYDE-33362932998937</t>
  </si>
  <si>
    <t xml:space="preserve">RYDE-33363192453785</t>
  </si>
  <si>
    <t xml:space="preserve">RYDE-34883561600025</t>
  </si>
  <si>
    <t xml:space="preserve">RYDE-35170207360025</t>
  </si>
  <si>
    <t xml:space="preserve">RYDE-360003567993</t>
  </si>
  <si>
    <t xml:space="preserve">RYDE-360004075214</t>
  </si>
  <si>
    <t xml:space="preserve">RYDE-360004108473</t>
  </si>
  <si>
    <t xml:space="preserve">RYDE-360007214273</t>
  </si>
  <si>
    <t xml:space="preserve">RYDE-360011925934</t>
  </si>
  <si>
    <t xml:space="preserve">RYDE-360025448953</t>
  </si>
  <si>
    <t xml:space="preserve">RYDE-360036735393</t>
  </si>
  <si>
    <t xml:space="preserve">RYDE-37057430899225</t>
  </si>
  <si>
    <t xml:space="preserve">RYDE-4406078531097</t>
  </si>
  <si>
    <t xml:space="preserve">RYDE-4407754351257</t>
  </si>
  <si>
    <t xml:space="preserve">RYDE-4407754403353</t>
  </si>
  <si>
    <t xml:space="preserve">RYDE-4407761228825</t>
  </si>
  <si>
    <t xml:space="preserve">RYDE-4407761270937</t>
  </si>
  <si>
    <t xml:space="preserve">RYDE-4407761313305</t>
  </si>
  <si>
    <t xml:space="preserve">RYDE-4408070775193</t>
  </si>
  <si>
    <t xml:space="preserve">RYDE-4408070838297</t>
  </si>
  <si>
    <t xml:space="preserve">RYDE-4408071347993</t>
  </si>
  <si>
    <t xml:space="preserve">RYDE-4408071485081</t>
  </si>
  <si>
    <t xml:space="preserve">RYDE-4408072389913</t>
  </si>
  <si>
    <t xml:space="preserve">RYDE-4408072421785</t>
  </si>
  <si>
    <t xml:space="preserve">RYDE-4408079364889</t>
  </si>
  <si>
    <t xml:space="preserve">RYDE-4408079464217</t>
  </si>
  <si>
    <t xml:space="preserve">RYDE-4408080441497</t>
  </si>
  <si>
    <t xml:space="preserve">RYDE-4408080464153</t>
  </si>
  <si>
    <t xml:space="preserve">RYDE-4408117287577</t>
  </si>
  <si>
    <t xml:space="preserve">RYDE-4412121982745</t>
  </si>
  <si>
    <t xml:space="preserve">RYDE-4412122016153</t>
  </si>
  <si>
    <t xml:space="preserve">RYDE-45035286411929</t>
  </si>
  <si>
    <t xml:space="preserve">RYDE-46037468973337</t>
  </si>
  <si>
    <t xml:space="preserve">RYDE-46374495669401</t>
  </si>
  <si>
    <t xml:space="preserve">RYDE-46489492021401</t>
  </si>
  <si>
    <t xml:space="preserve">RYDE-46946509938073</t>
  </si>
  <si>
    <t xml:space="preserve">RYDE-48132902021017</t>
  </si>
  <si>
    <t xml:space="preserve">RYDE-4842763548825</t>
  </si>
  <si>
    <t xml:space="preserve">RYDE-48945760704537</t>
  </si>
  <si>
    <t xml:space="preserve">RYDE-49158925783961</t>
  </si>
  <si>
    <t xml:space="preserve">RYDE-50736334641561</t>
  </si>
  <si>
    <t xml:space="preserve">RYDE-50798691815449</t>
  </si>
  <si>
    <t xml:space="preserve">RYDE-51354502165913</t>
  </si>
  <si>
    <t xml:space="preserve">RYDE-51399674412441</t>
  </si>
  <si>
    <t xml:space="preserve">RYDE-51399796192921</t>
  </si>
  <si>
    <t xml:space="preserve">RYDE-51400229761177</t>
  </si>
  <si>
    <t xml:space="preserve">RYDE-51812996696217</t>
  </si>
  <si>
    <t xml:space="preserve">RYDE-51813221666457</t>
  </si>
  <si>
    <t xml:space="preserve">RYDE-52332111671833</t>
  </si>
  <si>
    <t xml:space="preserve">RYDE-52594357168281</t>
  </si>
  <si>
    <t xml:space="preserve">RYDE-52595834493593</t>
  </si>
  <si>
    <t xml:space="preserve">RYDE-52596204611993</t>
  </si>
  <si>
    <t xml:space="preserve">RYDE-52596215285273</t>
  </si>
  <si>
    <t xml:space="preserve">RYDE-52948811893145</t>
  </si>
  <si>
    <t xml:space="preserve">RYDE-60139384607897</t>
  </si>
  <si>
    <t xml:space="preserve">RYDE-61848374584217</t>
  </si>
  <si>
    <t xml:space="preserve">RYDE-61849191494809</t>
  </si>
  <si>
    <t xml:space="preserve">RYDE-62021500374041</t>
  </si>
  <si>
    <t xml:space="preserve">RYDE-62530390907545</t>
  </si>
  <si>
    <t xml:space="preserve">RYDE-62530417385753</t>
  </si>
  <si>
    <t xml:space="preserve">RYDE-6959605073177</t>
  </si>
  <si>
    <t xml:space="preserve">RYDE-900003102263</t>
  </si>
  <si>
    <t xml:space="preserve">RYDE-900003406966</t>
  </si>
  <si>
    <t xml:space="preserve">RYDE-900003466206</t>
  </si>
  <si>
    <t xml:space="preserve">RYDE-900003838306</t>
  </si>
  <si>
    <t xml:space="preserve">RYDE-900003838386</t>
  </si>
  <si>
    <t xml:space="preserve">RYDE-900004157486</t>
  </si>
  <si>
    <t xml:space="preserve">RYDE-900004230226</t>
  </si>
  <si>
    <t xml:space="preserve">RYDE-900004381243</t>
  </si>
  <si>
    <t xml:space="preserve">RYDE-900005170043</t>
  </si>
  <si>
    <t xml:space="preserve">RYDE-900005170163</t>
  </si>
  <si>
    <t xml:space="preserve">RYDE-900005469083</t>
  </si>
</sst>
</file>

<file path=xl/styles.xml><?xml version="1.0" encoding="utf-8"?>
<styleSheet xmlns="http://schemas.openxmlformats.org/spreadsheetml/2006/main">
  <numFmts count="2">
    <numFmt numFmtId="164" formatCode="General"/>
    <numFmt numFmtId="165" formatCode="yyyy\-mm\-dd\ hh:mm:ss"/>
  </numFmts>
  <fonts count="2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4"/>
      <name val="WenQuanYi Zen Hei"/>
      <family val="2"/>
    </font>
    <font>
      <sz val="11"/>
      <color theme="1"/>
      <name val="Arial"/>
      <family val="0"/>
      <charset val="1"/>
    </font>
    <font>
      <i val="true"/>
      <sz val="9"/>
      <color rgb="FF595959"/>
      <name val="Arial"/>
      <family val="0"/>
      <charset val="1"/>
    </font>
    <font>
      <sz val="10"/>
      <name val="WenQuanYi Zen Hei"/>
      <family val="2"/>
    </font>
    <font>
      <sz val="10"/>
      <name val="Arial"/>
      <family val="0"/>
      <charset val="1"/>
    </font>
    <font>
      <b val="true"/>
      <sz val="11"/>
      <color rgb="FF1F4E78"/>
      <name val="WenQuanYi Zen Hei"/>
      <family val="2"/>
    </font>
    <font>
      <b val="true"/>
      <sz val="10"/>
      <color rgb="FFFFFFFF"/>
      <name val="WenQuanYi Zen Hei"/>
      <family val="2"/>
    </font>
    <font>
      <b val="true"/>
      <sz val="10"/>
      <color rgb="FFFFFFFF"/>
      <name val="Arial"/>
      <family val="0"/>
      <charset val="1"/>
    </font>
    <font>
      <b val="true"/>
      <sz val="11"/>
      <color rgb="FF1F4E78"/>
      <name val="Arial"/>
      <family val="0"/>
      <charset val="1"/>
    </font>
    <font>
      <b val="true"/>
      <sz val="10"/>
      <name val="WenQuanYi Zen Hei"/>
      <family val="2"/>
    </font>
    <font>
      <b val="true"/>
      <sz val="10"/>
      <name val="Arial"/>
      <family val="0"/>
      <charset val="1"/>
    </font>
    <font>
      <i val="true"/>
      <sz val="9"/>
      <color rgb="FF595959"/>
      <name val="WenQuanYi Zen Hei"/>
      <family val="2"/>
    </font>
    <font>
      <i val="true"/>
      <sz val="10"/>
      <name val="Arial"/>
      <family val="0"/>
      <charset val="1"/>
    </font>
    <font>
      <sz val="10"/>
      <name val="Arial"/>
      <family val="2"/>
    </font>
    <font>
      <sz val="11"/>
      <color theme="1"/>
      <name val="WenQuanYi Zen Hei"/>
      <family val="2"/>
    </font>
  </fonts>
  <fills count="12">
    <fill>
      <patternFill patternType="none"/>
    </fill>
    <fill>
      <patternFill patternType="gray125"/>
    </fill>
    <fill>
      <patternFill patternType="solid">
        <fgColor rgb="FF1F4E78"/>
        <bgColor rgb="FF003366"/>
      </patternFill>
    </fill>
    <fill>
      <patternFill patternType="solid">
        <fgColor rgb="FF8EA9DB"/>
        <bgColor rgb="FFB4A7D6"/>
      </patternFill>
    </fill>
    <fill>
      <patternFill patternType="solid">
        <fgColor rgb="FFF4B084"/>
        <bgColor rgb="FFFF99CC"/>
      </patternFill>
    </fill>
    <fill>
      <patternFill patternType="solid">
        <fgColor rgb="FFA9D08E"/>
        <bgColor rgb="FFBFBFBF"/>
      </patternFill>
    </fill>
    <fill>
      <patternFill patternType="solid">
        <fgColor rgb="FFB4A7D6"/>
        <bgColor rgb="FFBFBFBF"/>
      </patternFill>
    </fill>
    <fill>
      <patternFill patternType="solid">
        <fgColor rgb="FFBFBFBF"/>
        <bgColor rgb="FFB4A7D6"/>
      </patternFill>
    </fill>
    <fill>
      <patternFill patternType="solid">
        <fgColor rgb="FFE2EFDA"/>
        <bgColor rgb="FFEDEDED"/>
      </patternFill>
    </fill>
    <fill>
      <patternFill patternType="solid">
        <fgColor rgb="FFEDEDED"/>
        <bgColor rgb="FFE2EFDA"/>
      </patternFill>
    </fill>
    <fill>
      <patternFill patternType="solid">
        <fgColor rgb="FFDDEBF7"/>
        <bgColor rgb="FFEDEDED"/>
      </patternFill>
    </fill>
    <fill>
      <patternFill patternType="solid">
        <fgColor rgb="FFFFF2CC"/>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12" fillId="3" borderId="0" xfId="0" applyFont="true" applyBorder="true" applyAlignment="true" applyProtection="false">
      <alignment horizontal="center" vertical="center" textRotation="0" wrapText="true" indent="0" shrinkToFit="false"/>
      <protection locked="true" hidden="false"/>
    </xf>
    <xf numFmtId="164" fontId="12" fillId="4" borderId="0" xfId="0" applyFont="true" applyBorder="true" applyAlignment="true" applyProtection="false">
      <alignment horizontal="center" vertical="center" textRotation="0" wrapText="true" indent="0" shrinkToFit="false"/>
      <protection locked="true" hidden="false"/>
    </xf>
    <xf numFmtId="164" fontId="12" fillId="5" borderId="0" xfId="0" applyFont="true" applyBorder="true" applyAlignment="true" applyProtection="false">
      <alignment horizontal="center" vertical="center" textRotation="0" wrapText="true" indent="0" shrinkToFit="false"/>
      <protection locked="true" hidden="false"/>
    </xf>
    <xf numFmtId="164" fontId="12" fillId="6" borderId="0" xfId="0" applyFont="true" applyBorder="true" applyAlignment="true" applyProtection="false">
      <alignment horizontal="center" vertical="center" textRotation="0" wrapText="true" indent="0" shrinkToFit="false"/>
      <protection locked="true" hidden="false"/>
    </xf>
    <xf numFmtId="164" fontId="12" fillId="7" borderId="0"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17" fillId="8" borderId="1" xfId="0" applyFont="true" applyBorder="true" applyAlignment="true" applyProtection="false">
      <alignment horizontal="general" vertical="top" textRotation="0" wrapText="true" indent="0" shrinkToFit="false"/>
      <protection locked="true" hidden="false"/>
    </xf>
    <xf numFmtId="165" fontId="17" fillId="8" borderId="1" xfId="0" applyFont="true" applyBorder="true" applyAlignment="true" applyProtection="false">
      <alignment horizontal="general" vertical="top" textRotation="0" wrapText="true" indent="0" shrinkToFit="false"/>
      <protection locked="true" hidden="false"/>
    </xf>
    <xf numFmtId="164" fontId="9" fillId="9" borderId="1" xfId="0" applyFont="true" applyBorder="true" applyAlignment="false" applyProtection="false">
      <alignment horizontal="general" vertical="bottom" textRotation="0" wrapText="false" indent="0" shrinkToFit="false"/>
      <protection locked="true" hidden="false"/>
    </xf>
    <xf numFmtId="164" fontId="9" fillId="9" borderId="1" xfId="0" applyFont="true" applyBorder="true" applyAlignment="true" applyProtection="false">
      <alignment horizontal="general" vertical="top" textRotation="0" wrapText="true" indent="0" shrinkToFit="false"/>
      <protection locked="true" hidden="false"/>
    </xf>
    <xf numFmtId="165" fontId="9" fillId="9" borderId="1" xfId="0" applyFont="true" applyBorder="true" applyAlignment="false" applyProtection="false">
      <alignment horizontal="general" vertical="bottom" textRotation="0" wrapText="false" indent="0" shrinkToFit="false"/>
      <protection locked="true" hidden="false"/>
    </xf>
    <xf numFmtId="164" fontId="9" fillId="10" borderId="1" xfId="0" applyFont="true" applyBorder="true" applyAlignment="true" applyProtection="false">
      <alignment horizontal="general" vertical="top" textRotation="0" wrapText="true" indent="0" shrinkToFit="false"/>
      <protection locked="true" hidden="false"/>
    </xf>
    <xf numFmtId="164" fontId="9" fillId="11" borderId="1" xfId="0" applyFont="true" applyBorder="true" applyAlignment="false" applyProtection="false">
      <alignment horizontal="general" vertical="bottom" textRotation="0" wrapText="false" indent="0" shrinkToFit="false"/>
      <protection locked="true" hidden="false"/>
    </xf>
    <xf numFmtId="164" fontId="9" fillId="11"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center" vertical="center" textRotation="0" wrapText="tru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E2EFDA"/>
          <bgColor rgb="FF000000"/>
        </patternFill>
      </fill>
    </dxf>
    <dxf>
      <fill>
        <patternFill patternType="solid">
          <fgColor rgb="FFEDEDED"/>
          <bgColor rgb="FF000000"/>
        </patternFill>
      </fill>
    </dxf>
    <dxf>
      <fill>
        <patternFill patternType="solid">
          <bgColor rgb="FF000000"/>
        </patternFill>
      </fill>
    </dxf>
    <dxf>
      <fill>
        <patternFill patternType="solid">
          <fgColor rgb="FF595959"/>
          <bgColor rgb="FF000000"/>
        </patternFill>
      </fill>
    </dxf>
    <dxf>
      <fill>
        <patternFill patternType="solid">
          <fgColor rgb="FFDDEBF7"/>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8EA9DB"/>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DEDED"/>
      <rgbColor rgb="FFE2EFDA"/>
      <rgbColor rgb="FFFFFF99"/>
      <rgbColor rgb="FFA9D08E"/>
      <rgbColor rgb="FFFF99CC"/>
      <rgbColor rgb="FFB4A7D6"/>
      <rgbColor rgb="FFF4B084"/>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9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8"/>
    <col collapsed="false" customWidth="true" hidden="false" outlineLevel="0" max="3" min="3" style="0" width="10"/>
    <col collapsed="false" customWidth="true" hidden="false" outlineLevel="0" max="4" min="4" style="0" width="30"/>
    <col collapsed="false" customWidth="true" hidden="false" outlineLevel="0" max="5" min="5" style="0" width="6"/>
    <col collapsed="false" customWidth="true" hidden="false" outlineLevel="0" max="6" min="6" style="0" width="8"/>
    <col collapsed="false" customWidth="true" hidden="false" outlineLevel="0" max="7" min="7" style="0" width="50"/>
    <col collapsed="false" customWidth="true" hidden="false" outlineLevel="0" max="8" min="8" style="0" width="40"/>
  </cols>
  <sheetData>
    <row r="1" customFormat="false" ht="19.4" hidden="false" customHeight="false" outlineLevel="0" collapsed="false">
      <c r="A1" s="1" t="s">
        <v>0</v>
      </c>
      <c r="B1" s="2"/>
      <c r="C1" s="2"/>
      <c r="D1" s="2"/>
      <c r="E1" s="2"/>
      <c r="F1" s="2"/>
      <c r="G1" s="2"/>
      <c r="H1" s="2"/>
    </row>
    <row r="2" customFormat="false" ht="15" hidden="false" customHeight="false" outlineLevel="0" collapsed="false">
      <c r="A2" s="3" t="s">
        <v>1</v>
      </c>
      <c r="B2" s="2"/>
      <c r="C2" s="2"/>
      <c r="D2" s="2"/>
      <c r="E2" s="2"/>
      <c r="F2" s="2"/>
      <c r="G2" s="2"/>
      <c r="H2" s="2"/>
    </row>
    <row r="3" customFormat="false" ht="15" hidden="false" customHeight="false" outlineLevel="0" collapsed="false">
      <c r="A3" s="2"/>
      <c r="B3" s="2"/>
      <c r="C3" s="2"/>
      <c r="D3" s="2"/>
      <c r="E3" s="2"/>
      <c r="F3" s="2"/>
      <c r="G3" s="2"/>
      <c r="H3" s="2"/>
    </row>
    <row r="4" customFormat="false" ht="15" hidden="false" customHeight="true" outlineLevel="0" collapsed="false">
      <c r="A4" s="4" t="s">
        <v>2</v>
      </c>
      <c r="B4" s="4"/>
      <c r="C4" s="4"/>
      <c r="D4" s="4"/>
      <c r="E4" s="4"/>
      <c r="F4" s="4"/>
      <c r="G4" s="4"/>
      <c r="H4" s="4"/>
    </row>
    <row r="5" customFormat="false" ht="28.5" hidden="false" customHeight="true" outlineLevel="0" collapsed="false">
      <c r="A5" s="4" t="s">
        <v>3</v>
      </c>
      <c r="B5" s="4"/>
      <c r="C5" s="4"/>
      <c r="D5" s="4"/>
      <c r="E5" s="4"/>
      <c r="F5" s="4"/>
      <c r="G5" s="4"/>
      <c r="H5" s="4"/>
    </row>
    <row r="6" customFormat="false" ht="15" hidden="false" customHeight="true" outlineLevel="0" collapsed="false">
      <c r="A6" s="4" t="s">
        <v>4</v>
      </c>
      <c r="B6" s="4"/>
      <c r="C6" s="4"/>
      <c r="D6" s="4"/>
      <c r="E6" s="4"/>
      <c r="F6" s="4"/>
      <c r="G6" s="4"/>
      <c r="H6" s="4"/>
    </row>
    <row r="7" customFormat="false" ht="15" hidden="false" customHeight="true" outlineLevel="0" collapsed="false">
      <c r="A7" s="4" t="s">
        <v>5</v>
      </c>
      <c r="B7" s="4"/>
      <c r="C7" s="4"/>
      <c r="D7" s="4"/>
      <c r="E7" s="4"/>
      <c r="F7" s="4"/>
      <c r="G7" s="4"/>
      <c r="H7" s="4"/>
    </row>
    <row r="8" customFormat="false" ht="15" hidden="false" customHeight="true" outlineLevel="0" collapsed="false">
      <c r="A8" s="4" t="s">
        <v>6</v>
      </c>
      <c r="B8" s="4"/>
      <c r="C8" s="4"/>
      <c r="D8" s="4"/>
      <c r="E8" s="4"/>
      <c r="F8" s="4"/>
      <c r="G8" s="4"/>
      <c r="H8" s="4"/>
    </row>
    <row r="9" customFormat="false" ht="15" hidden="false" customHeight="true" outlineLevel="0" collapsed="false">
      <c r="A9" s="4" t="s">
        <v>7</v>
      </c>
      <c r="B9" s="4"/>
      <c r="C9" s="4"/>
      <c r="D9" s="4"/>
      <c r="E9" s="4"/>
      <c r="F9" s="4"/>
      <c r="G9" s="4"/>
      <c r="H9" s="4"/>
    </row>
    <row r="10" customFormat="false" ht="15" hidden="false" customHeight="true" outlineLevel="0" collapsed="false">
      <c r="A10" s="4" t="s">
        <v>8</v>
      </c>
      <c r="B10" s="4"/>
      <c r="C10" s="4"/>
      <c r="D10" s="4"/>
      <c r="E10" s="4"/>
      <c r="F10" s="4"/>
      <c r="G10" s="4"/>
      <c r="H10" s="4"/>
    </row>
    <row r="11" customFormat="false" ht="28.5" hidden="false" customHeight="true" outlineLevel="0" collapsed="false">
      <c r="A11" s="4" t="s">
        <v>9</v>
      </c>
      <c r="B11" s="4"/>
      <c r="C11" s="4"/>
      <c r="D11" s="4"/>
      <c r="E11" s="4"/>
      <c r="F11" s="4"/>
      <c r="G11" s="4"/>
      <c r="H11" s="4"/>
    </row>
    <row r="12" customFormat="false" ht="28.5" hidden="false" customHeight="true" outlineLevel="0" collapsed="false">
      <c r="A12" s="4" t="s">
        <v>10</v>
      </c>
      <c r="B12" s="4"/>
      <c r="C12" s="4"/>
      <c r="D12" s="4"/>
      <c r="E12" s="4"/>
      <c r="F12" s="4"/>
      <c r="G12" s="4"/>
      <c r="H12" s="4"/>
    </row>
    <row r="13" customFormat="false" ht="15" hidden="false" customHeight="true" outlineLevel="0" collapsed="false">
      <c r="A13" s="4" t="s">
        <v>11</v>
      </c>
      <c r="B13" s="4"/>
      <c r="C13" s="4"/>
      <c r="D13" s="4"/>
      <c r="E13" s="4"/>
      <c r="F13" s="4"/>
      <c r="G13" s="4"/>
      <c r="H13" s="4"/>
    </row>
    <row r="14" customFormat="false" ht="28.5" hidden="false" customHeight="true" outlineLevel="0" collapsed="false">
      <c r="A14" s="4" t="s">
        <v>12</v>
      </c>
      <c r="B14" s="4"/>
      <c r="C14" s="4"/>
      <c r="D14" s="4"/>
      <c r="E14" s="4"/>
      <c r="F14" s="4"/>
      <c r="G14" s="4"/>
      <c r="H14" s="4"/>
    </row>
    <row r="15" customFormat="false" ht="28.5" hidden="false" customHeight="true" outlineLevel="0" collapsed="false">
      <c r="A15" s="4" t="s">
        <v>13</v>
      </c>
      <c r="B15" s="4"/>
      <c r="C15" s="4"/>
      <c r="D15" s="4"/>
      <c r="E15" s="4"/>
      <c r="F15" s="4"/>
      <c r="G15" s="4"/>
      <c r="H15" s="4"/>
    </row>
    <row r="16" customFormat="false" ht="28.5" hidden="false" customHeight="true" outlineLevel="0" collapsed="false">
      <c r="A16" s="4" t="s">
        <v>14</v>
      </c>
      <c r="B16" s="4"/>
      <c r="C16" s="4"/>
      <c r="D16" s="4"/>
      <c r="E16" s="4"/>
      <c r="F16" s="4"/>
      <c r="G16" s="4"/>
      <c r="H16" s="4"/>
    </row>
    <row r="17" customFormat="false" ht="15" hidden="false" customHeight="true" outlineLevel="0" collapsed="false">
      <c r="A17" s="4" t="s">
        <v>15</v>
      </c>
      <c r="B17" s="4"/>
      <c r="C17" s="4"/>
      <c r="D17" s="4"/>
      <c r="E17" s="4"/>
      <c r="F17" s="4"/>
      <c r="G17" s="4"/>
      <c r="H17" s="4"/>
    </row>
    <row r="18" customFormat="false" ht="15" hidden="false" customHeight="false" outlineLevel="0" collapsed="false">
      <c r="A18" s="2"/>
      <c r="B18" s="2"/>
      <c r="C18" s="2"/>
      <c r="D18" s="2"/>
      <c r="E18" s="2"/>
      <c r="F18" s="2"/>
      <c r="G18" s="2"/>
      <c r="H18" s="2"/>
    </row>
    <row r="19" customFormat="false" ht="15" hidden="false" customHeight="false" outlineLevel="0" collapsed="false">
      <c r="A19" s="5" t="s">
        <v>16</v>
      </c>
      <c r="B19" s="2"/>
      <c r="C19" s="2"/>
      <c r="D19" s="2"/>
      <c r="E19" s="2"/>
      <c r="F19" s="2"/>
      <c r="G19" s="2"/>
      <c r="H19" s="2"/>
    </row>
    <row r="20" customFormat="false" ht="28.5" hidden="false" customHeight="true" outlineLevel="0" collapsed="false">
      <c r="A20" s="6" t="s">
        <v>17</v>
      </c>
      <c r="B20" s="6" t="s">
        <v>18</v>
      </c>
      <c r="C20" s="6" t="s">
        <v>19</v>
      </c>
      <c r="D20" s="6" t="s">
        <v>20</v>
      </c>
      <c r="E20" s="6" t="s">
        <v>21</v>
      </c>
      <c r="F20" s="6" t="s">
        <v>22</v>
      </c>
      <c r="G20" s="6" t="s">
        <v>23</v>
      </c>
      <c r="H20" s="6" t="s">
        <v>24</v>
      </c>
    </row>
    <row r="21" customFormat="false" ht="28.5" hidden="false" customHeight="true" outlineLevel="0" collapsed="false">
      <c r="A21" s="7" t="s">
        <v>25</v>
      </c>
      <c r="B21" s="7" t="s">
        <v>26</v>
      </c>
      <c r="C21" s="7" t="s">
        <v>27</v>
      </c>
      <c r="D21" s="7"/>
      <c r="E21" s="7"/>
      <c r="F21" s="7"/>
      <c r="G21" s="7"/>
      <c r="H21" s="7" t="s">
        <v>28</v>
      </c>
    </row>
    <row r="22" customFormat="false" ht="28.5" hidden="false" customHeight="true" outlineLevel="0" collapsed="false">
      <c r="A22" s="7" t="s">
        <v>25</v>
      </c>
      <c r="B22" s="7" t="s">
        <v>29</v>
      </c>
      <c r="C22" s="7" t="s">
        <v>27</v>
      </c>
      <c r="D22" s="8" t="s">
        <v>30</v>
      </c>
      <c r="E22" s="8"/>
      <c r="F22" s="8"/>
      <c r="G22" s="8"/>
      <c r="H22" s="7" t="s">
        <v>31</v>
      </c>
    </row>
    <row r="23" customFormat="false" ht="69" hidden="false" customHeight="true" outlineLevel="0" collapsed="false">
      <c r="A23" s="7" t="s">
        <v>25</v>
      </c>
      <c r="B23" s="7" t="s">
        <v>32</v>
      </c>
      <c r="C23" s="7" t="s">
        <v>27</v>
      </c>
      <c r="D23" s="8" t="s">
        <v>33</v>
      </c>
      <c r="E23" s="8"/>
      <c r="F23" s="8"/>
      <c r="G23" s="7" t="s">
        <v>34</v>
      </c>
      <c r="H23" s="7" t="s">
        <v>35</v>
      </c>
    </row>
    <row r="24" customFormat="false" ht="28.5" hidden="false" customHeight="true" outlineLevel="0" collapsed="false">
      <c r="A24" s="7" t="s">
        <v>25</v>
      </c>
      <c r="B24" s="7" t="s">
        <v>36</v>
      </c>
      <c r="C24" s="7" t="s">
        <v>27</v>
      </c>
      <c r="D24" s="8"/>
      <c r="E24" s="8"/>
      <c r="F24" s="8"/>
      <c r="G24" s="8"/>
      <c r="H24" s="7" t="s">
        <v>37</v>
      </c>
    </row>
    <row r="25" customFormat="false" ht="28.5" hidden="false" customHeight="true" outlineLevel="0" collapsed="false">
      <c r="A25" s="7" t="s">
        <v>25</v>
      </c>
      <c r="B25" s="7" t="s">
        <v>38</v>
      </c>
      <c r="C25" s="7" t="s">
        <v>27</v>
      </c>
      <c r="D25" s="8" t="s">
        <v>39</v>
      </c>
      <c r="E25" s="8"/>
      <c r="F25" s="8"/>
      <c r="G25" s="8"/>
      <c r="H25" s="7" t="s">
        <v>40</v>
      </c>
    </row>
    <row r="26" customFormat="false" ht="28.5" hidden="false" customHeight="true" outlineLevel="0" collapsed="false">
      <c r="A26" s="7" t="s">
        <v>25</v>
      </c>
      <c r="B26" s="7" t="s">
        <v>41</v>
      </c>
      <c r="C26" s="7" t="s">
        <v>27</v>
      </c>
      <c r="D26" s="7" t="s">
        <v>42</v>
      </c>
      <c r="E26" s="8"/>
      <c r="F26" s="8"/>
      <c r="G26" s="8"/>
      <c r="H26" s="7" t="s">
        <v>43</v>
      </c>
    </row>
    <row r="27" customFormat="false" ht="28.5" hidden="false" customHeight="true" outlineLevel="0" collapsed="false">
      <c r="A27" s="7" t="s">
        <v>25</v>
      </c>
      <c r="B27" s="7" t="s">
        <v>44</v>
      </c>
      <c r="C27" s="7" t="s">
        <v>27</v>
      </c>
      <c r="D27" s="8"/>
      <c r="E27" s="8"/>
      <c r="F27" s="8"/>
      <c r="G27" s="8"/>
      <c r="H27" s="7" t="s">
        <v>45</v>
      </c>
    </row>
    <row r="28" customFormat="false" ht="55.5" hidden="false" customHeight="true" outlineLevel="0" collapsed="false">
      <c r="A28" s="7" t="s">
        <v>25</v>
      </c>
      <c r="B28" s="7" t="s">
        <v>46</v>
      </c>
      <c r="C28" s="7" t="s">
        <v>27</v>
      </c>
      <c r="D28" s="8"/>
      <c r="E28" s="8"/>
      <c r="F28" s="8"/>
      <c r="G28" s="7" t="s">
        <v>47</v>
      </c>
      <c r="H28" s="7" t="s">
        <v>48</v>
      </c>
    </row>
    <row r="29" customFormat="false" ht="28.5" hidden="false" customHeight="true" outlineLevel="0" collapsed="false">
      <c r="A29" s="7" t="s">
        <v>25</v>
      </c>
      <c r="B29" s="7" t="s">
        <v>49</v>
      </c>
      <c r="C29" s="7" t="s">
        <v>27</v>
      </c>
      <c r="D29" s="7" t="s">
        <v>50</v>
      </c>
      <c r="E29" s="8"/>
      <c r="F29" s="8"/>
      <c r="G29" s="8"/>
      <c r="H29" s="7" t="s">
        <v>51</v>
      </c>
    </row>
    <row r="30" customFormat="false" ht="28.5" hidden="false" customHeight="true" outlineLevel="0" collapsed="false">
      <c r="A30" s="7" t="s">
        <v>25</v>
      </c>
      <c r="B30" s="7" t="s">
        <v>52</v>
      </c>
      <c r="C30" s="7" t="s">
        <v>27</v>
      </c>
      <c r="D30" s="7" t="s">
        <v>53</v>
      </c>
      <c r="E30" s="8"/>
      <c r="F30" s="8"/>
      <c r="G30" s="8"/>
      <c r="H30" s="7" t="s">
        <v>54</v>
      </c>
    </row>
    <row r="31" customFormat="false" ht="28.5" hidden="false" customHeight="true" outlineLevel="0" collapsed="false">
      <c r="A31" s="7" t="s">
        <v>25</v>
      </c>
      <c r="B31" s="7" t="s">
        <v>55</v>
      </c>
      <c r="C31" s="7" t="s">
        <v>27</v>
      </c>
      <c r="D31" s="7" t="s">
        <v>56</v>
      </c>
      <c r="E31" s="8"/>
      <c r="F31" s="8"/>
      <c r="G31" s="8"/>
      <c r="H31" s="7" t="s">
        <v>57</v>
      </c>
    </row>
    <row r="32" customFormat="false" ht="28.5" hidden="false" customHeight="true" outlineLevel="0" collapsed="false">
      <c r="A32" s="7" t="s">
        <v>25</v>
      </c>
      <c r="B32" s="7" t="s">
        <v>58</v>
      </c>
      <c r="C32" s="7" t="s">
        <v>27</v>
      </c>
      <c r="D32" s="8"/>
      <c r="E32" s="8"/>
      <c r="F32" s="8"/>
      <c r="G32" s="8"/>
      <c r="H32" s="7" t="s">
        <v>59</v>
      </c>
    </row>
    <row r="33" customFormat="false" ht="28.5" hidden="false" customHeight="true" outlineLevel="0" collapsed="false">
      <c r="A33" s="7" t="s">
        <v>25</v>
      </c>
      <c r="B33" s="7" t="s">
        <v>60</v>
      </c>
      <c r="C33" s="7" t="s">
        <v>27</v>
      </c>
      <c r="D33" s="8"/>
      <c r="E33" s="8"/>
      <c r="F33" s="8"/>
      <c r="G33" s="8"/>
      <c r="H33" s="7" t="s">
        <v>61</v>
      </c>
    </row>
    <row r="34" customFormat="false" ht="28.5" hidden="false" customHeight="true" outlineLevel="0" collapsed="false">
      <c r="A34" s="7" t="s">
        <v>25</v>
      </c>
      <c r="B34" s="7" t="s">
        <v>62</v>
      </c>
      <c r="C34" s="7" t="s">
        <v>27</v>
      </c>
      <c r="D34" s="8"/>
      <c r="E34" s="8"/>
      <c r="F34" s="8"/>
      <c r="G34" s="8"/>
      <c r="H34" s="8"/>
    </row>
    <row r="35" customFormat="false" ht="28.5" hidden="false" customHeight="true" outlineLevel="0" collapsed="false">
      <c r="A35" s="7" t="s">
        <v>25</v>
      </c>
      <c r="B35" s="7" t="s">
        <v>63</v>
      </c>
      <c r="C35" s="7" t="s">
        <v>27</v>
      </c>
      <c r="D35" s="8"/>
      <c r="E35" s="8"/>
      <c r="F35" s="8"/>
      <c r="G35" s="8"/>
      <c r="H35" s="8"/>
    </row>
    <row r="36" customFormat="false" ht="28.5" hidden="false" customHeight="true" outlineLevel="0" collapsed="false">
      <c r="A36" s="7" t="s">
        <v>25</v>
      </c>
      <c r="B36" s="7" t="s">
        <v>64</v>
      </c>
      <c r="C36" s="7" t="s">
        <v>27</v>
      </c>
      <c r="D36" s="8"/>
      <c r="E36" s="8"/>
      <c r="F36" s="8"/>
      <c r="G36" s="8"/>
      <c r="H36" s="8"/>
    </row>
    <row r="37" customFormat="false" ht="28.5" hidden="false" customHeight="true" outlineLevel="0" collapsed="false">
      <c r="A37" s="7" t="s">
        <v>25</v>
      </c>
      <c r="B37" s="7" t="s">
        <v>65</v>
      </c>
      <c r="C37" s="7" t="s">
        <v>27</v>
      </c>
      <c r="D37" s="8"/>
      <c r="E37" s="8"/>
      <c r="F37" s="8"/>
      <c r="G37" s="8"/>
      <c r="H37" s="7" t="s">
        <v>66</v>
      </c>
    </row>
    <row r="38" customFormat="false" ht="28.5" hidden="false" customHeight="true" outlineLevel="0" collapsed="false">
      <c r="A38" s="7" t="s">
        <v>25</v>
      </c>
      <c r="B38" s="7" t="s">
        <v>67</v>
      </c>
      <c r="C38" s="7" t="s">
        <v>27</v>
      </c>
      <c r="D38" s="8"/>
      <c r="E38" s="8"/>
      <c r="F38" s="8"/>
      <c r="G38" s="8"/>
      <c r="H38" s="7" t="s">
        <v>68</v>
      </c>
    </row>
    <row r="39" customFormat="false" ht="28.5" hidden="false" customHeight="true" outlineLevel="0" collapsed="false">
      <c r="A39" s="7" t="s">
        <v>25</v>
      </c>
      <c r="B39" s="7" t="s">
        <v>69</v>
      </c>
      <c r="C39" s="7" t="s">
        <v>27</v>
      </c>
      <c r="D39" s="7" t="s">
        <v>70</v>
      </c>
      <c r="E39" s="8"/>
      <c r="F39" s="8"/>
      <c r="G39" s="8"/>
      <c r="H39" s="7" t="s">
        <v>71</v>
      </c>
    </row>
    <row r="40" customFormat="false" ht="28.5" hidden="false" customHeight="true" outlineLevel="0" collapsed="false">
      <c r="A40" s="7" t="s">
        <v>25</v>
      </c>
      <c r="B40" s="7" t="s">
        <v>72</v>
      </c>
      <c r="C40" s="7" t="s">
        <v>27</v>
      </c>
      <c r="D40" s="7" t="s">
        <v>73</v>
      </c>
      <c r="E40" s="8"/>
      <c r="F40" s="8"/>
      <c r="G40" s="8"/>
      <c r="H40" s="7" t="s">
        <v>74</v>
      </c>
    </row>
    <row r="41" customFormat="false" ht="28.5" hidden="false" customHeight="true" outlineLevel="0" collapsed="false">
      <c r="A41" s="7" t="s">
        <v>25</v>
      </c>
      <c r="B41" s="7" t="s">
        <v>75</v>
      </c>
      <c r="C41" s="7" t="s">
        <v>27</v>
      </c>
      <c r="D41" s="8"/>
      <c r="E41" s="8"/>
      <c r="F41" s="8"/>
      <c r="G41" s="8"/>
      <c r="H41" s="8" t="n">
        <v>6.61</v>
      </c>
    </row>
    <row r="42" customFormat="false" ht="28.5" hidden="false" customHeight="true" outlineLevel="0" collapsed="false">
      <c r="A42" s="7" t="s">
        <v>25</v>
      </c>
      <c r="B42" s="7" t="s">
        <v>76</v>
      </c>
      <c r="C42" s="7" t="s">
        <v>27</v>
      </c>
      <c r="D42" s="8"/>
      <c r="E42" s="8"/>
      <c r="F42" s="8"/>
      <c r="G42" s="8"/>
      <c r="H42" s="7" t="s">
        <v>77</v>
      </c>
    </row>
    <row r="43" customFormat="false" ht="28.5" hidden="false" customHeight="true" outlineLevel="0" collapsed="false">
      <c r="A43" s="7" t="s">
        <v>25</v>
      </c>
      <c r="B43" s="7" t="s">
        <v>78</v>
      </c>
      <c r="C43" s="7" t="s">
        <v>27</v>
      </c>
      <c r="D43" s="8"/>
      <c r="E43" s="8"/>
      <c r="F43" s="8"/>
      <c r="G43" s="8"/>
      <c r="H43" s="8" t="n">
        <v>0</v>
      </c>
    </row>
    <row r="44" customFormat="false" ht="28.5" hidden="false" customHeight="true" outlineLevel="0" collapsed="false">
      <c r="A44" s="7" t="s">
        <v>25</v>
      </c>
      <c r="B44" s="7" t="s">
        <v>79</v>
      </c>
      <c r="C44" s="7" t="s">
        <v>27</v>
      </c>
      <c r="D44" s="8"/>
      <c r="E44" s="8"/>
      <c r="F44" s="8"/>
      <c r="G44" s="8"/>
      <c r="H44" s="8" t="n">
        <v>0</v>
      </c>
    </row>
    <row r="45" customFormat="false" ht="28.5" hidden="false" customHeight="true" outlineLevel="0" collapsed="false">
      <c r="A45" s="7" t="s">
        <v>25</v>
      </c>
      <c r="B45" s="7" t="s">
        <v>80</v>
      </c>
      <c r="C45" s="7" t="s">
        <v>27</v>
      </c>
      <c r="D45" s="8"/>
      <c r="E45" s="8"/>
      <c r="F45" s="8"/>
      <c r="G45" s="7" t="s">
        <v>81</v>
      </c>
      <c r="H45" s="8" t="n">
        <v>0</v>
      </c>
    </row>
    <row r="46" customFormat="false" ht="55.5" hidden="false" customHeight="true" outlineLevel="0" collapsed="false">
      <c r="A46" s="7" t="s">
        <v>25</v>
      </c>
      <c r="B46" s="7" t="s">
        <v>82</v>
      </c>
      <c r="C46" s="7" t="s">
        <v>27</v>
      </c>
      <c r="D46" s="8"/>
      <c r="E46" s="8"/>
      <c r="F46" s="8"/>
      <c r="G46" s="7" t="s">
        <v>83</v>
      </c>
      <c r="H46" s="8" t="n">
        <v>180</v>
      </c>
    </row>
    <row r="47" customFormat="false" ht="42" hidden="false" customHeight="true" outlineLevel="0" collapsed="false">
      <c r="A47" s="7" t="s">
        <v>25</v>
      </c>
      <c r="B47" s="7" t="s">
        <v>84</v>
      </c>
      <c r="C47" s="7" t="s">
        <v>27</v>
      </c>
      <c r="D47" s="8"/>
      <c r="E47" s="8"/>
      <c r="F47" s="8"/>
      <c r="G47" s="7" t="s">
        <v>85</v>
      </c>
      <c r="H47" s="8" t="n">
        <v>6.61</v>
      </c>
    </row>
    <row r="48" customFormat="false" ht="28.5" hidden="false" customHeight="true" outlineLevel="0" collapsed="false">
      <c r="A48" s="7" t="s">
        <v>25</v>
      </c>
      <c r="B48" s="7" t="s">
        <v>86</v>
      </c>
      <c r="C48" s="7" t="s">
        <v>87</v>
      </c>
      <c r="D48" s="8"/>
      <c r="E48" s="8"/>
      <c r="F48" s="8" t="s">
        <v>88</v>
      </c>
      <c r="G48" s="7" t="s">
        <v>89</v>
      </c>
      <c r="H48" s="8"/>
    </row>
    <row r="49" customFormat="false" ht="28.5" hidden="false" customHeight="true" outlineLevel="0" collapsed="false">
      <c r="A49" s="7" t="s">
        <v>25</v>
      </c>
      <c r="B49" s="7" t="s">
        <v>90</v>
      </c>
      <c r="C49" s="7" t="s">
        <v>87</v>
      </c>
      <c r="D49" s="8"/>
      <c r="E49" s="8"/>
      <c r="F49" s="8" t="s">
        <v>88</v>
      </c>
      <c r="G49" s="7" t="s">
        <v>91</v>
      </c>
      <c r="H49" s="8" t="n">
        <v>0.02</v>
      </c>
    </row>
    <row r="50" customFormat="false" ht="28.5" hidden="false" customHeight="true" outlineLevel="0" collapsed="false">
      <c r="A50" s="7" t="s">
        <v>25</v>
      </c>
      <c r="B50" s="7" t="s">
        <v>92</v>
      </c>
      <c r="C50" s="7" t="s">
        <v>87</v>
      </c>
      <c r="D50" s="8"/>
      <c r="E50" s="8"/>
      <c r="F50" s="8" t="s">
        <v>88</v>
      </c>
      <c r="G50" s="7" t="s">
        <v>93</v>
      </c>
      <c r="H50" s="8"/>
    </row>
    <row r="51" customFormat="false" ht="136.5" hidden="false" customHeight="true" outlineLevel="0" collapsed="false">
      <c r="A51" s="7" t="s">
        <v>25</v>
      </c>
      <c r="B51" s="7" t="s">
        <v>94</v>
      </c>
      <c r="C51" s="7" t="s">
        <v>27</v>
      </c>
      <c r="D51" s="8"/>
      <c r="E51" s="8"/>
      <c r="F51" s="8" t="s">
        <v>88</v>
      </c>
      <c r="G51" s="7" t="s">
        <v>95</v>
      </c>
      <c r="H51" s="8" t="n">
        <v>0</v>
      </c>
    </row>
    <row r="52" customFormat="false" ht="136.5" hidden="false" customHeight="true" outlineLevel="0" collapsed="false">
      <c r="A52" s="7" t="s">
        <v>25</v>
      </c>
      <c r="B52" s="7" t="s">
        <v>96</v>
      </c>
      <c r="C52" s="7" t="s">
        <v>27</v>
      </c>
      <c r="D52" s="8" t="s">
        <v>97</v>
      </c>
      <c r="E52" s="8"/>
      <c r="F52" s="8" t="s">
        <v>88</v>
      </c>
      <c r="G52" s="7" t="s">
        <v>98</v>
      </c>
      <c r="H52" s="7" t="s">
        <v>99</v>
      </c>
    </row>
    <row r="53" customFormat="false" ht="28.5" hidden="false" customHeight="true" outlineLevel="0" collapsed="false">
      <c r="A53" s="7" t="s">
        <v>25</v>
      </c>
      <c r="B53" s="7" t="s">
        <v>100</v>
      </c>
      <c r="C53" s="7" t="s">
        <v>101</v>
      </c>
      <c r="D53" s="8"/>
      <c r="E53" s="8"/>
      <c r="F53" s="8" t="s">
        <v>88</v>
      </c>
      <c r="G53" s="7" t="s">
        <v>102</v>
      </c>
      <c r="H53" s="7" t="s">
        <v>103</v>
      </c>
    </row>
    <row r="54" customFormat="false" ht="42" hidden="false" customHeight="true" outlineLevel="0" collapsed="false">
      <c r="A54" s="7" t="s">
        <v>104</v>
      </c>
      <c r="B54" s="7" t="s">
        <v>105</v>
      </c>
      <c r="C54" s="7" t="s">
        <v>106</v>
      </c>
      <c r="D54" s="8" t="s">
        <v>107</v>
      </c>
      <c r="E54" s="8"/>
      <c r="F54" s="8"/>
      <c r="G54" s="8"/>
      <c r="H54" s="7" t="s">
        <v>108</v>
      </c>
    </row>
    <row r="55" customFormat="false" ht="42" hidden="false" customHeight="true" outlineLevel="0" collapsed="false">
      <c r="A55" s="7" t="s">
        <v>104</v>
      </c>
      <c r="B55" s="7" t="s">
        <v>109</v>
      </c>
      <c r="C55" s="7" t="s">
        <v>106</v>
      </c>
      <c r="D55" s="7" t="s">
        <v>110</v>
      </c>
      <c r="E55" s="8"/>
      <c r="F55" s="8"/>
      <c r="G55" s="8"/>
      <c r="H55" s="7" t="s">
        <v>111</v>
      </c>
    </row>
    <row r="56" customFormat="false" ht="42" hidden="false" customHeight="true" outlineLevel="0" collapsed="false">
      <c r="A56" s="7" t="s">
        <v>104</v>
      </c>
      <c r="B56" s="7" t="s">
        <v>112</v>
      </c>
      <c r="C56" s="7" t="s">
        <v>106</v>
      </c>
      <c r="D56" s="7" t="s">
        <v>110</v>
      </c>
      <c r="E56" s="8" t="s">
        <v>21</v>
      </c>
      <c r="F56" s="8"/>
      <c r="G56" s="8"/>
      <c r="H56" s="8"/>
    </row>
    <row r="57" customFormat="false" ht="42" hidden="false" customHeight="true" outlineLevel="0" collapsed="false">
      <c r="A57" s="7" t="s">
        <v>104</v>
      </c>
      <c r="B57" s="7" t="s">
        <v>113</v>
      </c>
      <c r="C57" s="7" t="s">
        <v>106</v>
      </c>
      <c r="D57" s="8"/>
      <c r="E57" s="8"/>
      <c r="F57" s="8"/>
      <c r="G57" s="7" t="s">
        <v>114</v>
      </c>
      <c r="H57" s="8"/>
    </row>
    <row r="58" customFormat="false" ht="42" hidden="false" customHeight="true" outlineLevel="0" collapsed="false">
      <c r="A58" s="7" t="s">
        <v>104</v>
      </c>
      <c r="B58" s="7" t="s">
        <v>115</v>
      </c>
      <c r="C58" s="7" t="s">
        <v>106</v>
      </c>
      <c r="D58" s="7" t="s">
        <v>116</v>
      </c>
      <c r="E58" s="8"/>
      <c r="F58" s="8"/>
      <c r="G58" s="8"/>
      <c r="H58" s="7" t="s">
        <v>117</v>
      </c>
    </row>
    <row r="59" customFormat="false" ht="109.5" hidden="false" customHeight="true" outlineLevel="0" collapsed="false">
      <c r="A59" s="7" t="s">
        <v>104</v>
      </c>
      <c r="B59" s="7" t="s">
        <v>118</v>
      </c>
      <c r="C59" s="7" t="s">
        <v>106</v>
      </c>
      <c r="D59" s="7" t="s">
        <v>119</v>
      </c>
      <c r="E59" s="8"/>
      <c r="F59" s="8"/>
      <c r="G59" s="7" t="s">
        <v>120</v>
      </c>
      <c r="H59" s="7" t="s">
        <v>121</v>
      </c>
    </row>
    <row r="60" customFormat="false" ht="42" hidden="false" customHeight="true" outlineLevel="0" collapsed="false">
      <c r="A60" s="7" t="s">
        <v>104</v>
      </c>
      <c r="B60" s="7" t="s">
        <v>122</v>
      </c>
      <c r="C60" s="7" t="s">
        <v>106</v>
      </c>
      <c r="D60" s="8"/>
      <c r="E60" s="8"/>
      <c r="F60" s="8"/>
      <c r="G60" s="8"/>
      <c r="H60" s="8" t="n">
        <v>6.61</v>
      </c>
    </row>
    <row r="61" customFormat="false" ht="42" hidden="false" customHeight="true" outlineLevel="0" collapsed="false">
      <c r="A61" s="7" t="s">
        <v>104</v>
      </c>
      <c r="B61" s="7" t="s">
        <v>123</v>
      </c>
      <c r="C61" s="7" t="s">
        <v>106</v>
      </c>
      <c r="D61" s="7" t="s">
        <v>42</v>
      </c>
      <c r="E61" s="8"/>
      <c r="F61" s="8"/>
      <c r="G61" s="8"/>
      <c r="H61" s="7" t="s">
        <v>124</v>
      </c>
    </row>
    <row r="62" customFormat="false" ht="42" hidden="false" customHeight="true" outlineLevel="0" collapsed="false">
      <c r="A62" s="7" t="s">
        <v>104</v>
      </c>
      <c r="B62" s="7" t="s">
        <v>125</v>
      </c>
      <c r="C62" s="7" t="s">
        <v>106</v>
      </c>
      <c r="D62" s="7" t="s">
        <v>42</v>
      </c>
      <c r="E62" s="8"/>
      <c r="F62" s="8"/>
      <c r="G62" s="8"/>
      <c r="H62" s="7" t="s">
        <v>43</v>
      </c>
    </row>
    <row r="63" customFormat="false" ht="42" hidden="false" customHeight="true" outlineLevel="0" collapsed="false">
      <c r="A63" s="7" t="s">
        <v>104</v>
      </c>
      <c r="B63" s="7" t="s">
        <v>126</v>
      </c>
      <c r="C63" s="7" t="s">
        <v>106</v>
      </c>
      <c r="D63" s="7" t="s">
        <v>127</v>
      </c>
      <c r="E63" s="8"/>
      <c r="F63" s="8"/>
      <c r="G63" s="8"/>
      <c r="H63" s="7" t="s">
        <v>128</v>
      </c>
    </row>
    <row r="64" customFormat="false" ht="42" hidden="false" customHeight="true" outlineLevel="0" collapsed="false">
      <c r="A64" s="7" t="s">
        <v>104</v>
      </c>
      <c r="B64" s="7" t="s">
        <v>129</v>
      </c>
      <c r="C64" s="7" t="s">
        <v>106</v>
      </c>
      <c r="D64" s="7" t="s">
        <v>130</v>
      </c>
      <c r="E64" s="8"/>
      <c r="F64" s="8"/>
      <c r="G64" s="8"/>
      <c r="H64" s="7" t="s">
        <v>131</v>
      </c>
    </row>
    <row r="65" customFormat="false" ht="42" hidden="false" customHeight="true" outlineLevel="0" collapsed="false">
      <c r="A65" s="7" t="s">
        <v>104</v>
      </c>
      <c r="B65" s="7" t="s">
        <v>132</v>
      </c>
      <c r="C65" s="7" t="s">
        <v>106</v>
      </c>
      <c r="D65" s="7" t="s">
        <v>130</v>
      </c>
      <c r="E65" s="8" t="s">
        <v>21</v>
      </c>
      <c r="F65" s="8"/>
      <c r="G65" s="8"/>
      <c r="H65" s="8"/>
    </row>
    <row r="66" customFormat="false" ht="55.5" hidden="false" customHeight="true" outlineLevel="0" collapsed="false">
      <c r="A66" s="7" t="s">
        <v>104</v>
      </c>
      <c r="B66" s="7" t="s">
        <v>133</v>
      </c>
      <c r="C66" s="7" t="s">
        <v>106</v>
      </c>
      <c r="D66" s="8" t="s">
        <v>107</v>
      </c>
      <c r="E66" s="8"/>
      <c r="F66" s="8"/>
      <c r="G66" s="7" t="s">
        <v>134</v>
      </c>
      <c r="H66" s="7" t="s">
        <v>135</v>
      </c>
    </row>
    <row r="67" customFormat="false" ht="96" hidden="false" customHeight="true" outlineLevel="0" collapsed="false">
      <c r="A67" s="7" t="s">
        <v>104</v>
      </c>
      <c r="B67" s="7" t="s">
        <v>136</v>
      </c>
      <c r="C67" s="7" t="s">
        <v>106</v>
      </c>
      <c r="D67" s="7" t="s">
        <v>137</v>
      </c>
      <c r="E67" s="8"/>
      <c r="F67" s="8"/>
      <c r="G67" s="7" t="s">
        <v>138</v>
      </c>
      <c r="H67" s="7" t="s">
        <v>27</v>
      </c>
    </row>
    <row r="68" customFormat="false" ht="42" hidden="false" customHeight="true" outlineLevel="0" collapsed="false">
      <c r="A68" s="7" t="s">
        <v>104</v>
      </c>
      <c r="B68" s="7" t="s">
        <v>139</v>
      </c>
      <c r="C68" s="7" t="s">
        <v>106</v>
      </c>
      <c r="D68" s="7" t="s">
        <v>140</v>
      </c>
      <c r="E68" s="8" t="s">
        <v>21</v>
      </c>
      <c r="F68" s="8"/>
      <c r="G68" s="8"/>
      <c r="H68" s="8"/>
    </row>
    <row r="69" customFormat="false" ht="69" hidden="false" customHeight="true" outlineLevel="0" collapsed="false">
      <c r="A69" s="7" t="s">
        <v>104</v>
      </c>
      <c r="B69" s="7" t="s">
        <v>141</v>
      </c>
      <c r="C69" s="7" t="s">
        <v>106</v>
      </c>
      <c r="D69" s="8" t="s">
        <v>142</v>
      </c>
      <c r="E69" s="8"/>
      <c r="F69" s="8"/>
      <c r="G69" s="8"/>
      <c r="H69" s="7" t="s">
        <v>143</v>
      </c>
    </row>
    <row r="70" customFormat="false" ht="42" hidden="false" customHeight="true" outlineLevel="0" collapsed="false">
      <c r="A70" s="7" t="s">
        <v>144</v>
      </c>
      <c r="B70" s="7" t="s">
        <v>145</v>
      </c>
      <c r="C70" s="7" t="s">
        <v>106</v>
      </c>
      <c r="D70" s="7" t="s">
        <v>146</v>
      </c>
      <c r="E70" s="8"/>
      <c r="F70" s="8"/>
      <c r="G70" s="8"/>
      <c r="H70" s="7" t="s">
        <v>147</v>
      </c>
    </row>
    <row r="71" customFormat="false" ht="42" hidden="false" customHeight="true" outlineLevel="0" collapsed="false">
      <c r="A71" s="7" t="s">
        <v>144</v>
      </c>
      <c r="B71" s="7" t="s">
        <v>148</v>
      </c>
      <c r="C71" s="7" t="s">
        <v>106</v>
      </c>
      <c r="D71" s="8" t="s">
        <v>149</v>
      </c>
      <c r="E71" s="8"/>
      <c r="F71" s="8"/>
      <c r="G71" s="7" t="s">
        <v>150</v>
      </c>
      <c r="H71" s="7" t="s">
        <v>151</v>
      </c>
    </row>
    <row r="72" customFormat="false" ht="42" hidden="false" customHeight="true" outlineLevel="0" collapsed="false">
      <c r="A72" s="7" t="s">
        <v>144</v>
      </c>
      <c r="B72" s="7" t="s">
        <v>152</v>
      </c>
      <c r="C72" s="7" t="s">
        <v>106</v>
      </c>
      <c r="D72" s="7" t="s">
        <v>146</v>
      </c>
      <c r="E72" s="8" t="s">
        <v>21</v>
      </c>
      <c r="F72" s="8"/>
      <c r="G72" s="8"/>
      <c r="H72" s="7" t="s">
        <v>153</v>
      </c>
    </row>
    <row r="73" customFormat="false" ht="42" hidden="false" customHeight="true" outlineLevel="0" collapsed="false">
      <c r="A73" s="7" t="s">
        <v>144</v>
      </c>
      <c r="B73" s="7" t="s">
        <v>154</v>
      </c>
      <c r="C73" s="7" t="s">
        <v>106</v>
      </c>
      <c r="D73" s="8"/>
      <c r="E73" s="8"/>
      <c r="F73" s="8"/>
      <c r="G73" s="7" t="s">
        <v>155</v>
      </c>
      <c r="H73" s="8"/>
    </row>
    <row r="74" customFormat="false" ht="42" hidden="false" customHeight="true" outlineLevel="0" collapsed="false">
      <c r="A74" s="7" t="s">
        <v>144</v>
      </c>
      <c r="B74" s="7" t="s">
        <v>156</v>
      </c>
      <c r="C74" s="7" t="s">
        <v>106</v>
      </c>
      <c r="D74" s="7" t="s">
        <v>157</v>
      </c>
      <c r="E74" s="8" t="s">
        <v>21</v>
      </c>
      <c r="F74" s="8"/>
      <c r="G74" s="8"/>
      <c r="H74" s="7" t="s">
        <v>158</v>
      </c>
    </row>
    <row r="75" customFormat="false" ht="42" hidden="false" customHeight="true" outlineLevel="0" collapsed="false">
      <c r="A75" s="7" t="s">
        <v>144</v>
      </c>
      <c r="B75" s="7" t="s">
        <v>159</v>
      </c>
      <c r="C75" s="7" t="s">
        <v>106</v>
      </c>
      <c r="D75" s="7" t="s">
        <v>160</v>
      </c>
      <c r="E75" s="8"/>
      <c r="F75" s="8"/>
      <c r="G75" s="8"/>
      <c r="H75" s="7" t="s">
        <v>161</v>
      </c>
    </row>
    <row r="76" customFormat="false" ht="42" hidden="false" customHeight="true" outlineLevel="0" collapsed="false">
      <c r="A76" s="7" t="s">
        <v>144</v>
      </c>
      <c r="B76" s="7" t="s">
        <v>162</v>
      </c>
      <c r="C76" s="7" t="s">
        <v>106</v>
      </c>
      <c r="D76" s="7" t="s">
        <v>160</v>
      </c>
      <c r="E76" s="8" t="s">
        <v>21</v>
      </c>
      <c r="F76" s="8"/>
      <c r="G76" s="8"/>
      <c r="H76" s="7" t="s">
        <v>163</v>
      </c>
    </row>
    <row r="77" customFormat="false" ht="42" hidden="false" customHeight="true" outlineLevel="0" collapsed="false">
      <c r="A77" s="7" t="s">
        <v>144</v>
      </c>
      <c r="B77" s="7" t="s">
        <v>164</v>
      </c>
      <c r="C77" s="7" t="s">
        <v>106</v>
      </c>
      <c r="D77" s="8"/>
      <c r="E77" s="8"/>
      <c r="F77" s="8"/>
      <c r="G77" s="7" t="s">
        <v>165</v>
      </c>
      <c r="H77" s="8"/>
    </row>
    <row r="78" customFormat="false" ht="42" hidden="false" customHeight="true" outlineLevel="0" collapsed="false">
      <c r="A78" s="7" t="s">
        <v>144</v>
      </c>
      <c r="B78" s="7" t="s">
        <v>166</v>
      </c>
      <c r="C78" s="7" t="s">
        <v>106</v>
      </c>
      <c r="D78" s="7" t="s">
        <v>160</v>
      </c>
      <c r="E78" s="8" t="s">
        <v>21</v>
      </c>
      <c r="F78" s="8"/>
      <c r="G78" s="8"/>
      <c r="H78" s="7" t="s">
        <v>167</v>
      </c>
    </row>
    <row r="79" customFormat="false" ht="69" hidden="false" customHeight="true" outlineLevel="0" collapsed="false">
      <c r="A79" s="7" t="s">
        <v>144</v>
      </c>
      <c r="B79" s="7" t="s">
        <v>168</v>
      </c>
      <c r="C79" s="7" t="s">
        <v>106</v>
      </c>
      <c r="D79" s="8"/>
      <c r="E79" s="8"/>
      <c r="F79" s="8"/>
      <c r="G79" s="7" t="s">
        <v>169</v>
      </c>
      <c r="H79" s="7" t="s">
        <v>170</v>
      </c>
    </row>
    <row r="80" customFormat="false" ht="42" hidden="false" customHeight="true" outlineLevel="0" collapsed="false">
      <c r="A80" s="7" t="s">
        <v>144</v>
      </c>
      <c r="B80" s="7" t="s">
        <v>171</v>
      </c>
      <c r="C80" s="7" t="s">
        <v>106</v>
      </c>
      <c r="D80" s="8" t="s">
        <v>172</v>
      </c>
      <c r="E80" s="8"/>
      <c r="F80" s="8"/>
      <c r="G80" s="8"/>
      <c r="H80" s="8" t="n">
        <v>3</v>
      </c>
    </row>
    <row r="81" customFormat="false" ht="42" hidden="false" customHeight="true" outlineLevel="0" collapsed="false">
      <c r="A81" s="7" t="s">
        <v>173</v>
      </c>
      <c r="B81" s="7" t="s">
        <v>174</v>
      </c>
      <c r="C81" s="7" t="s">
        <v>106</v>
      </c>
      <c r="D81" s="8"/>
      <c r="E81" s="8"/>
      <c r="F81" s="8"/>
      <c r="G81" s="8"/>
      <c r="H81" s="8"/>
    </row>
    <row r="82" customFormat="false" ht="42" hidden="false" customHeight="true" outlineLevel="0" collapsed="false">
      <c r="A82" s="7" t="s">
        <v>173</v>
      </c>
      <c r="B82" s="7" t="s">
        <v>175</v>
      </c>
      <c r="C82" s="7" t="s">
        <v>27</v>
      </c>
      <c r="D82" s="8"/>
      <c r="E82" s="8"/>
      <c r="F82" s="8"/>
      <c r="G82" s="8"/>
      <c r="H82" s="7" t="s">
        <v>28</v>
      </c>
    </row>
    <row r="83" customFormat="false" ht="42" hidden="false" customHeight="true" outlineLevel="0" collapsed="false">
      <c r="A83" s="7" t="s">
        <v>173</v>
      </c>
      <c r="B83" s="7" t="s">
        <v>176</v>
      </c>
      <c r="C83" s="7" t="s">
        <v>27</v>
      </c>
      <c r="D83" s="8"/>
      <c r="E83" s="8"/>
      <c r="F83" s="8"/>
      <c r="G83" s="8"/>
      <c r="H83" s="7" t="s">
        <v>177</v>
      </c>
    </row>
    <row r="84" customFormat="false" ht="42" hidden="false" customHeight="true" outlineLevel="0" collapsed="false">
      <c r="A84" s="7" t="s">
        <v>173</v>
      </c>
      <c r="B84" s="7" t="s">
        <v>178</v>
      </c>
      <c r="C84" s="7" t="s">
        <v>27</v>
      </c>
      <c r="D84" s="8"/>
      <c r="E84" s="8"/>
      <c r="F84" s="8"/>
      <c r="G84" s="8"/>
      <c r="H84" s="8"/>
    </row>
    <row r="85" customFormat="false" ht="109.5" hidden="false" customHeight="true" outlineLevel="0" collapsed="false">
      <c r="A85" s="7" t="s">
        <v>173</v>
      </c>
      <c r="B85" s="7" t="s">
        <v>179</v>
      </c>
      <c r="C85" s="7" t="s">
        <v>27</v>
      </c>
      <c r="D85" s="8" t="s">
        <v>180</v>
      </c>
      <c r="E85" s="8"/>
      <c r="F85" s="8"/>
      <c r="G85" s="8"/>
      <c r="H85" s="8"/>
    </row>
    <row r="86" customFormat="false" ht="28.5" hidden="false" customHeight="true" outlineLevel="0" collapsed="false">
      <c r="A86" s="7" t="s">
        <v>181</v>
      </c>
      <c r="B86" s="7" t="s">
        <v>182</v>
      </c>
      <c r="C86" s="7" t="s">
        <v>106</v>
      </c>
      <c r="D86" s="8"/>
      <c r="E86" s="8"/>
      <c r="F86" s="8"/>
      <c r="G86" s="8"/>
      <c r="H86" s="7" t="s">
        <v>183</v>
      </c>
    </row>
    <row r="87" customFormat="false" ht="28.5" hidden="false" customHeight="true" outlineLevel="0" collapsed="false">
      <c r="A87" s="7" t="s">
        <v>181</v>
      </c>
      <c r="B87" s="7" t="s">
        <v>184</v>
      </c>
      <c r="C87" s="7" t="s">
        <v>106</v>
      </c>
      <c r="D87" s="8"/>
      <c r="E87" s="8"/>
      <c r="F87" s="8"/>
      <c r="G87" s="8"/>
      <c r="H87" s="7" t="s">
        <v>185</v>
      </c>
    </row>
    <row r="88" customFormat="false" ht="28.5" hidden="false" customHeight="true" outlineLevel="0" collapsed="false">
      <c r="A88" s="7" t="s">
        <v>181</v>
      </c>
      <c r="B88" s="7" t="s">
        <v>186</v>
      </c>
      <c r="C88" s="7" t="s">
        <v>27</v>
      </c>
      <c r="D88" s="8"/>
      <c r="E88" s="8"/>
      <c r="F88" s="8"/>
      <c r="G88" s="8"/>
      <c r="H88" s="7" t="s">
        <v>187</v>
      </c>
    </row>
    <row r="89" customFormat="false" ht="28.5" hidden="false" customHeight="true" outlineLevel="0" collapsed="false">
      <c r="A89" s="7" t="s">
        <v>181</v>
      </c>
      <c r="B89" s="7" t="s">
        <v>188</v>
      </c>
      <c r="C89" s="7" t="s">
        <v>27</v>
      </c>
      <c r="D89" s="8"/>
      <c r="E89" s="8"/>
      <c r="F89" s="8"/>
      <c r="G89" s="8"/>
      <c r="H89" s="7" t="s">
        <v>189</v>
      </c>
    </row>
    <row r="90" customFormat="false" ht="69" hidden="false" customHeight="true" outlineLevel="0" collapsed="false">
      <c r="A90" s="7" t="s">
        <v>181</v>
      </c>
      <c r="B90" s="7" t="s">
        <v>190</v>
      </c>
      <c r="C90" s="7" t="s">
        <v>27</v>
      </c>
      <c r="D90" s="8" t="s">
        <v>191</v>
      </c>
      <c r="E90" s="8"/>
      <c r="F90" s="8"/>
      <c r="G90" s="7" t="s">
        <v>192</v>
      </c>
      <c r="H90" s="7" t="s">
        <v>193</v>
      </c>
    </row>
    <row r="91" customFormat="false" ht="28.5" hidden="false" customHeight="true" outlineLevel="0" collapsed="false">
      <c r="A91" s="7" t="s">
        <v>181</v>
      </c>
      <c r="B91" s="7" t="s">
        <v>194</v>
      </c>
      <c r="C91" s="7" t="s">
        <v>106</v>
      </c>
      <c r="D91" s="8"/>
      <c r="E91" s="8"/>
      <c r="F91" s="8"/>
      <c r="G91" s="8"/>
      <c r="H91" s="8" t="n">
        <v>3</v>
      </c>
    </row>
    <row r="92" customFormat="false" ht="15" hidden="false" customHeight="false" outlineLevel="0" collapsed="false">
      <c r="A92" s="2"/>
      <c r="B92" s="2"/>
      <c r="C92" s="2"/>
      <c r="D92" s="2"/>
      <c r="E92" s="2"/>
      <c r="F92" s="2"/>
      <c r="G92" s="2"/>
      <c r="H92" s="2"/>
    </row>
    <row r="93" customFormat="false" ht="55.5" hidden="false" customHeight="true" outlineLevel="0" collapsed="false">
      <c r="A93" s="5" t="s">
        <v>195</v>
      </c>
      <c r="B93" s="2"/>
      <c r="C93" s="2"/>
      <c r="D93" s="2"/>
      <c r="E93" s="2"/>
      <c r="F93" s="2"/>
      <c r="G93" s="2"/>
      <c r="H93" s="2"/>
    </row>
    <row r="94" customFormat="false" ht="15" hidden="false" customHeight="false" outlineLevel="0" collapsed="false">
      <c r="A94" s="6" t="s">
        <v>196</v>
      </c>
      <c r="B94" s="2"/>
      <c r="C94" s="2"/>
      <c r="D94" s="2"/>
      <c r="E94" s="2"/>
      <c r="F94" s="2"/>
      <c r="G94" s="6" t="s">
        <v>197</v>
      </c>
      <c r="H94" s="2"/>
    </row>
    <row r="95" customFormat="false" ht="312" hidden="false" customHeight="true" outlineLevel="0" collapsed="false">
      <c r="A95" s="8" t="s">
        <v>198</v>
      </c>
      <c r="B95" s="2"/>
      <c r="C95" s="2"/>
      <c r="D95" s="2"/>
      <c r="E95" s="2"/>
      <c r="F95" s="2"/>
      <c r="G95" s="7" t="s">
        <v>199</v>
      </c>
      <c r="H95" s="2"/>
    </row>
    <row r="96" customFormat="false" ht="360" hidden="false" customHeight="true" outlineLevel="0" collapsed="false">
      <c r="A96" s="8" t="s">
        <v>200</v>
      </c>
      <c r="B96" s="2"/>
      <c r="C96" s="2"/>
      <c r="D96" s="2"/>
      <c r="E96" s="2"/>
      <c r="F96" s="2"/>
      <c r="G96" s="7" t="s">
        <v>201</v>
      </c>
      <c r="H96" s="2"/>
    </row>
    <row r="97" customFormat="false" ht="177" hidden="false" customHeight="true" outlineLevel="0" collapsed="false">
      <c r="A97" s="8" t="s">
        <v>202</v>
      </c>
      <c r="B97" s="2"/>
      <c r="C97" s="2"/>
      <c r="D97" s="2"/>
      <c r="E97" s="2"/>
      <c r="F97" s="2"/>
      <c r="G97" s="7" t="s">
        <v>203</v>
      </c>
      <c r="H97" s="2"/>
    </row>
  </sheetData>
  <mergeCells count="14">
    <mergeCell ref="A4:H4"/>
    <mergeCell ref="A5:H5"/>
    <mergeCell ref="A6:H6"/>
    <mergeCell ref="A7:H7"/>
    <mergeCell ref="A8:H8"/>
    <mergeCell ref="A9:H9"/>
    <mergeCell ref="A10:H10"/>
    <mergeCell ref="A11:H11"/>
    <mergeCell ref="A12:H12"/>
    <mergeCell ref="A13:H13"/>
    <mergeCell ref="A14:H14"/>
    <mergeCell ref="A15:H15"/>
    <mergeCell ref="A16:H16"/>
    <mergeCell ref="A17:H1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S3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1"/>
  <cols>
    <col collapsed="false" customWidth="true" hidden="false" outlineLevel="0" max="7" min="1" style="0" width="16"/>
    <col collapsed="false" customWidth="true" hidden="false" outlineLevel="0" max="8" min="8" style="0" width="34"/>
    <col collapsed="false" customWidth="true" hidden="false" outlineLevel="0" max="27" min="9" style="0" width="16"/>
    <col collapsed="false" customWidth="true" hidden="false" outlineLevel="1" max="33" min="28" style="0" width="16"/>
    <col collapsed="false" customWidth="true" hidden="false" outlineLevel="0" max="35" min="34" style="0" width="16"/>
    <col collapsed="false" customWidth="true" hidden="false" outlineLevel="0" max="36" min="36" style="0" width="22"/>
    <col collapsed="false" customWidth="true" hidden="false" outlineLevel="0" max="44" min="37" style="0" width="16"/>
    <col collapsed="false" customWidth="true" hidden="false" outlineLevel="0" max="45" min="45" style="0" width="22"/>
    <col collapsed="false" customWidth="true" hidden="false" outlineLevel="0" max="47" min="46" style="0" width="16"/>
    <col collapsed="false" customWidth="true" hidden="false" outlineLevel="0" max="48" min="48" style="0" width="22"/>
    <col collapsed="false" customWidth="true" hidden="false" outlineLevel="0" max="51" min="49" style="0" width="16"/>
    <col collapsed="false" customWidth="true" hidden="false" outlineLevel="0" max="52" min="52" style="0" width="22"/>
    <col collapsed="false" customWidth="true" hidden="false" outlineLevel="0" max="53" min="53" style="0" width="16"/>
    <col collapsed="false" customWidth="true" hidden="false" outlineLevel="0" max="54" min="54" style="0" width="22"/>
    <col collapsed="false" customWidth="true" hidden="false" outlineLevel="0" max="55" min="55" style="0" width="16"/>
    <col collapsed="false" customWidth="true" hidden="false" outlineLevel="0" max="56" min="56" style="0" width="22"/>
    <col collapsed="false" customWidth="true" hidden="false" outlineLevel="0" max="57" min="57" style="0" width="16"/>
    <col collapsed="false" customWidth="true" hidden="false" outlineLevel="0" max="58" min="58" style="0" width="22"/>
    <col collapsed="false" customWidth="true" hidden="false" outlineLevel="0" max="59" min="59" style="0" width="34"/>
    <col collapsed="false" customWidth="true" hidden="false" outlineLevel="0" max="71" min="60" style="0" width="16"/>
  </cols>
  <sheetData>
    <row r="1" customFormat="false" ht="15" hidden="false" customHeight="false" outlineLevel="0" collapsed="false">
      <c r="A1" s="9" t="s">
        <v>204</v>
      </c>
      <c r="B1" s="9"/>
      <c r="C1" s="9"/>
      <c r="D1" s="9"/>
      <c r="E1" s="9"/>
      <c r="F1" s="9"/>
      <c r="G1" s="9"/>
      <c r="H1" s="9"/>
      <c r="I1" s="9"/>
      <c r="J1" s="9"/>
      <c r="K1" s="9"/>
      <c r="L1" s="9"/>
      <c r="M1" s="9"/>
      <c r="N1" s="9"/>
      <c r="O1" s="9"/>
      <c r="P1" s="9"/>
      <c r="Q1" s="9"/>
      <c r="R1" s="9"/>
      <c r="S1" s="9"/>
      <c r="T1" s="9"/>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row>
    <row r="2" customFormat="false" ht="15" hidden="false" customHeight="true" outlineLevel="0" collapsed="false">
      <c r="A2" s="10" t="s">
        <v>205</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1" t="s">
        <v>206</v>
      </c>
      <c r="AI2" s="11"/>
      <c r="AJ2" s="11"/>
      <c r="AK2" s="11"/>
      <c r="AL2" s="11"/>
      <c r="AM2" s="11"/>
      <c r="AN2" s="11"/>
      <c r="AO2" s="11"/>
      <c r="AP2" s="11"/>
      <c r="AQ2" s="11"/>
      <c r="AR2" s="11"/>
      <c r="AS2" s="11"/>
      <c r="AT2" s="11"/>
      <c r="AU2" s="11"/>
      <c r="AV2" s="11"/>
      <c r="AW2" s="11"/>
      <c r="AX2" s="12" t="s">
        <v>207</v>
      </c>
      <c r="AY2" s="12"/>
      <c r="AZ2" s="12"/>
      <c r="BA2" s="12"/>
      <c r="BB2" s="12"/>
      <c r="BC2" s="12"/>
      <c r="BD2" s="12"/>
      <c r="BE2" s="12"/>
      <c r="BF2" s="12"/>
      <c r="BG2" s="12"/>
      <c r="BH2" s="12"/>
      <c r="BI2" s="13" t="s">
        <v>208</v>
      </c>
      <c r="BJ2" s="13"/>
      <c r="BK2" s="13"/>
      <c r="BL2" s="13"/>
      <c r="BM2" s="13"/>
      <c r="BN2" s="14" t="s">
        <v>209</v>
      </c>
      <c r="BO2" s="14"/>
      <c r="BP2" s="14"/>
      <c r="BQ2" s="14"/>
      <c r="BR2" s="14"/>
      <c r="BS2" s="14"/>
    </row>
    <row r="3" customFormat="false" ht="42" hidden="false" customHeight="true" outlineLevel="0" collapsed="false">
      <c r="A3" s="15" t="s">
        <v>26</v>
      </c>
      <c r="B3" s="15" t="s">
        <v>29</v>
      </c>
      <c r="C3" s="15" t="s">
        <v>32</v>
      </c>
      <c r="D3" s="15" t="s">
        <v>36</v>
      </c>
      <c r="E3" s="15" t="s">
        <v>38</v>
      </c>
      <c r="F3" s="15" t="s">
        <v>41</v>
      </c>
      <c r="G3" s="15" t="s">
        <v>44</v>
      </c>
      <c r="H3" s="15" t="s">
        <v>46</v>
      </c>
      <c r="I3" s="15" t="s">
        <v>49</v>
      </c>
      <c r="J3" s="15" t="s">
        <v>52</v>
      </c>
      <c r="K3" s="15" t="s">
        <v>55</v>
      </c>
      <c r="L3" s="15" t="s">
        <v>58</v>
      </c>
      <c r="M3" s="15" t="s">
        <v>60</v>
      </c>
      <c r="N3" s="15" t="s">
        <v>62</v>
      </c>
      <c r="O3" s="15" t="s">
        <v>63</v>
      </c>
      <c r="P3" s="15" t="s">
        <v>64</v>
      </c>
      <c r="Q3" s="15" t="s">
        <v>65</v>
      </c>
      <c r="R3" s="15" t="s">
        <v>67</v>
      </c>
      <c r="S3" s="15" t="s">
        <v>69</v>
      </c>
      <c r="T3" s="15" t="s">
        <v>72</v>
      </c>
      <c r="U3" s="15" t="s">
        <v>75</v>
      </c>
      <c r="V3" s="15" t="s">
        <v>76</v>
      </c>
      <c r="W3" s="15" t="s">
        <v>78</v>
      </c>
      <c r="X3" s="15" t="s">
        <v>79</v>
      </c>
      <c r="Y3" s="15" t="s">
        <v>80</v>
      </c>
      <c r="Z3" s="15" t="s">
        <v>82</v>
      </c>
      <c r="AA3" s="15" t="s">
        <v>84</v>
      </c>
      <c r="AB3" s="15" t="s">
        <v>86</v>
      </c>
      <c r="AC3" s="15" t="s">
        <v>90</v>
      </c>
      <c r="AD3" s="15" t="s">
        <v>92</v>
      </c>
      <c r="AE3" s="15" t="s">
        <v>94</v>
      </c>
      <c r="AF3" s="15" t="s">
        <v>96</v>
      </c>
      <c r="AG3" s="15" t="s">
        <v>100</v>
      </c>
      <c r="AH3" s="15" t="s">
        <v>105</v>
      </c>
      <c r="AI3" s="15" t="s">
        <v>109</v>
      </c>
      <c r="AJ3" s="15" t="s">
        <v>112</v>
      </c>
      <c r="AK3" s="15" t="s">
        <v>113</v>
      </c>
      <c r="AL3" s="15" t="s">
        <v>115</v>
      </c>
      <c r="AM3" s="15" t="s">
        <v>118</v>
      </c>
      <c r="AN3" s="15" t="s">
        <v>122</v>
      </c>
      <c r="AO3" s="15" t="s">
        <v>123</v>
      </c>
      <c r="AP3" s="15" t="s">
        <v>125</v>
      </c>
      <c r="AQ3" s="15" t="s">
        <v>126</v>
      </c>
      <c r="AR3" s="15" t="s">
        <v>129</v>
      </c>
      <c r="AS3" s="15" t="s">
        <v>132</v>
      </c>
      <c r="AT3" s="15" t="s">
        <v>133</v>
      </c>
      <c r="AU3" s="15" t="s">
        <v>136</v>
      </c>
      <c r="AV3" s="15" t="s">
        <v>139</v>
      </c>
      <c r="AW3" s="15" t="s">
        <v>141</v>
      </c>
      <c r="AX3" s="15" t="s">
        <v>145</v>
      </c>
      <c r="AY3" s="15" t="s">
        <v>148</v>
      </c>
      <c r="AZ3" s="15" t="s">
        <v>152</v>
      </c>
      <c r="BA3" s="15" t="s">
        <v>154</v>
      </c>
      <c r="BB3" s="15" t="s">
        <v>156</v>
      </c>
      <c r="BC3" s="15" t="s">
        <v>159</v>
      </c>
      <c r="BD3" s="15" t="s">
        <v>162</v>
      </c>
      <c r="BE3" s="15" t="s">
        <v>164</v>
      </c>
      <c r="BF3" s="15" t="s">
        <v>166</v>
      </c>
      <c r="BG3" s="15" t="s">
        <v>168</v>
      </c>
      <c r="BH3" s="15" t="s">
        <v>171</v>
      </c>
      <c r="BI3" s="15" t="s">
        <v>174</v>
      </c>
      <c r="BJ3" s="15" t="s">
        <v>175</v>
      </c>
      <c r="BK3" s="15" t="s">
        <v>176</v>
      </c>
      <c r="BL3" s="15" t="s">
        <v>178</v>
      </c>
      <c r="BM3" s="15" t="s">
        <v>179</v>
      </c>
      <c r="BN3" s="15" t="s">
        <v>182</v>
      </c>
      <c r="BO3" s="15" t="s">
        <v>184</v>
      </c>
      <c r="BP3" s="15" t="s">
        <v>186</v>
      </c>
      <c r="BQ3" s="15" t="s">
        <v>188</v>
      </c>
      <c r="BR3" s="15" t="s">
        <v>190</v>
      </c>
      <c r="BS3" s="15" t="s">
        <v>194</v>
      </c>
    </row>
    <row r="4" customFormat="false" ht="42" hidden="false" customHeight="true" outlineLevel="0" collapsed="false">
      <c r="A4" s="16" t="s">
        <v>27</v>
      </c>
      <c r="B4" s="16" t="s">
        <v>27</v>
      </c>
      <c r="C4" s="16" t="s">
        <v>27</v>
      </c>
      <c r="D4" s="16" t="s">
        <v>27</v>
      </c>
      <c r="E4" s="16" t="s">
        <v>27</v>
      </c>
      <c r="F4" s="16" t="s">
        <v>27</v>
      </c>
      <c r="G4" s="16" t="s">
        <v>27</v>
      </c>
      <c r="H4" s="16" t="s">
        <v>27</v>
      </c>
      <c r="I4" s="16" t="s">
        <v>27</v>
      </c>
      <c r="J4" s="16" t="s">
        <v>27</v>
      </c>
      <c r="K4" s="16" t="s">
        <v>27</v>
      </c>
      <c r="L4" s="16" t="s">
        <v>27</v>
      </c>
      <c r="M4" s="16" t="s">
        <v>27</v>
      </c>
      <c r="N4" s="16" t="s">
        <v>27</v>
      </c>
      <c r="O4" s="16" t="s">
        <v>27</v>
      </c>
      <c r="P4" s="16" t="s">
        <v>27</v>
      </c>
      <c r="Q4" s="16" t="s">
        <v>27</v>
      </c>
      <c r="R4" s="16" t="s">
        <v>27</v>
      </c>
      <c r="S4" s="16" t="s">
        <v>27</v>
      </c>
      <c r="T4" s="16" t="s">
        <v>27</v>
      </c>
      <c r="U4" s="16" t="s">
        <v>27</v>
      </c>
      <c r="V4" s="16" t="s">
        <v>27</v>
      </c>
      <c r="W4" s="16" t="s">
        <v>27</v>
      </c>
      <c r="X4" s="16" t="s">
        <v>27</v>
      </c>
      <c r="Y4" s="16" t="s">
        <v>27</v>
      </c>
      <c r="Z4" s="16" t="s">
        <v>27</v>
      </c>
      <c r="AA4" s="16" t="s">
        <v>27</v>
      </c>
      <c r="AB4" s="16" t="s">
        <v>210</v>
      </c>
      <c r="AC4" s="16" t="s">
        <v>210</v>
      </c>
      <c r="AD4" s="16" t="s">
        <v>210</v>
      </c>
      <c r="AE4" s="16" t="s">
        <v>211</v>
      </c>
      <c r="AF4" s="16" t="s">
        <v>211</v>
      </c>
      <c r="AG4" s="16" t="s">
        <v>212</v>
      </c>
      <c r="AH4" s="16" t="s">
        <v>106</v>
      </c>
      <c r="AI4" s="16" t="s">
        <v>106</v>
      </c>
      <c r="AJ4" s="16" t="s">
        <v>106</v>
      </c>
      <c r="AK4" s="16" t="s">
        <v>106</v>
      </c>
      <c r="AL4" s="16" t="s">
        <v>106</v>
      </c>
      <c r="AM4" s="16" t="s">
        <v>106</v>
      </c>
      <c r="AN4" s="16" t="s">
        <v>106</v>
      </c>
      <c r="AO4" s="16" t="s">
        <v>106</v>
      </c>
      <c r="AP4" s="16" t="s">
        <v>106</v>
      </c>
      <c r="AQ4" s="16" t="s">
        <v>106</v>
      </c>
      <c r="AR4" s="16" t="s">
        <v>106</v>
      </c>
      <c r="AS4" s="16" t="s">
        <v>106</v>
      </c>
      <c r="AT4" s="16" t="s">
        <v>106</v>
      </c>
      <c r="AU4" s="16" t="s">
        <v>106</v>
      </c>
      <c r="AV4" s="16" t="s">
        <v>106</v>
      </c>
      <c r="AW4" s="16" t="s">
        <v>106</v>
      </c>
      <c r="AX4" s="16" t="s">
        <v>106</v>
      </c>
      <c r="AY4" s="16" t="s">
        <v>106</v>
      </c>
      <c r="AZ4" s="16" t="s">
        <v>106</v>
      </c>
      <c r="BA4" s="16" t="s">
        <v>106</v>
      </c>
      <c r="BB4" s="16" t="s">
        <v>106</v>
      </c>
      <c r="BC4" s="16" t="s">
        <v>106</v>
      </c>
      <c r="BD4" s="16" t="s">
        <v>106</v>
      </c>
      <c r="BE4" s="16" t="s">
        <v>106</v>
      </c>
      <c r="BF4" s="16" t="s">
        <v>106</v>
      </c>
      <c r="BG4" s="16" t="s">
        <v>106</v>
      </c>
      <c r="BH4" s="16" t="s">
        <v>106</v>
      </c>
      <c r="BI4" s="16" t="s">
        <v>106</v>
      </c>
      <c r="BJ4" s="16" t="s">
        <v>27</v>
      </c>
      <c r="BK4" s="16" t="s">
        <v>27</v>
      </c>
      <c r="BL4" s="16" t="s">
        <v>27</v>
      </c>
      <c r="BM4" s="16" t="s">
        <v>27</v>
      </c>
      <c r="BN4" s="16" t="s">
        <v>106</v>
      </c>
      <c r="BO4" s="16" t="s">
        <v>106</v>
      </c>
      <c r="BP4" s="16" t="s">
        <v>27</v>
      </c>
      <c r="BQ4" s="16" t="s">
        <v>27</v>
      </c>
      <c r="BR4" s="16" t="s">
        <v>27</v>
      </c>
      <c r="BS4" s="16" t="s">
        <v>106</v>
      </c>
    </row>
    <row r="5" customFormat="false" ht="82.5" hidden="false" customHeight="true" outlineLevel="0" collapsed="false">
      <c r="A5" s="17" t="s">
        <v>28</v>
      </c>
      <c r="B5" s="17" t="s">
        <v>31</v>
      </c>
      <c r="C5" s="17" t="s">
        <v>35</v>
      </c>
      <c r="D5" s="17" t="s">
        <v>37</v>
      </c>
      <c r="E5" s="17" t="s">
        <v>40</v>
      </c>
      <c r="F5" s="17" t="s">
        <v>43</v>
      </c>
      <c r="G5" s="17" t="s">
        <v>45</v>
      </c>
      <c r="H5" s="17" t="s">
        <v>48</v>
      </c>
      <c r="I5" s="17" t="s">
        <v>51</v>
      </c>
      <c r="J5" s="17" t="s">
        <v>54</v>
      </c>
      <c r="K5" s="17" t="s">
        <v>57</v>
      </c>
      <c r="L5" s="18" t="n">
        <v>46285.7930555556</v>
      </c>
      <c r="M5" s="18" t="n">
        <v>46285.793287037</v>
      </c>
      <c r="N5" s="18"/>
      <c r="O5" s="18"/>
      <c r="P5" s="18"/>
      <c r="Q5" s="18" t="n">
        <v>46285.7939814815</v>
      </c>
      <c r="R5" s="18" t="n">
        <v>46285.8125</v>
      </c>
      <c r="S5" s="17" t="s">
        <v>71</v>
      </c>
      <c r="T5" s="17" t="s">
        <v>74</v>
      </c>
      <c r="U5" s="17" t="n">
        <v>6.61</v>
      </c>
      <c r="V5" s="17" t="s">
        <v>77</v>
      </c>
      <c r="W5" s="17" t="n">
        <v>0</v>
      </c>
      <c r="X5" s="17" t="n">
        <v>0</v>
      </c>
      <c r="Y5" s="17" t="n">
        <v>0</v>
      </c>
      <c r="Z5" s="17" t="n">
        <v>180</v>
      </c>
      <c r="AA5" s="17" t="n">
        <v>6.61</v>
      </c>
      <c r="AB5" s="17" t="str">
        <f aca="false">IF(NOT(ISNUMBER(Q5)),"",IF(E5="organizer_case",IF(ISNUMBER(P5),ROUND((Q5-P5)*86400,0),""),IF(J5="ADVANCE",IF(ISNUMBER(O5),ROUND((Q5-MAX(O5,N5))*86400,0),""),IF(ISNUMBER(O5),ROUND((Q5-O5)*86400,0),""))))</f>
        <v/>
      </c>
      <c r="AC5" s="17" t="n">
        <f aca="false">IF(AND(ISNUMBER(Q5),ISNUMBER(R5)),ROUND(R5-Q5,2),"")</f>
        <v>0.02</v>
      </c>
      <c r="AD5" s="17" t="str">
        <f aca="false">IF(AND(ISNUMBER(AB5),ISNUMBER(Z5)),AB5-Z5,"")</f>
        <v/>
      </c>
      <c r="AE5" s="17" t="n">
        <v>0</v>
      </c>
      <c r="AF5" s="17" t="s">
        <v>99</v>
      </c>
      <c r="AG5" s="17" t="s">
        <v>103</v>
      </c>
      <c r="AH5" s="17" t="s">
        <v>108</v>
      </c>
      <c r="AI5" s="17" t="s">
        <v>111</v>
      </c>
      <c r="AJ5" s="17"/>
      <c r="AK5" s="17"/>
      <c r="AL5" s="17" t="s">
        <v>117</v>
      </c>
      <c r="AM5" s="17" t="s">
        <v>121</v>
      </c>
      <c r="AN5" s="17" t="n">
        <v>6.61</v>
      </c>
      <c r="AO5" s="17" t="s">
        <v>124</v>
      </c>
      <c r="AP5" s="17" t="s">
        <v>43</v>
      </c>
      <c r="AQ5" s="17" t="s">
        <v>128</v>
      </c>
      <c r="AR5" s="17" t="s">
        <v>131</v>
      </c>
      <c r="AS5" s="17"/>
      <c r="AT5" s="17" t="s">
        <v>135</v>
      </c>
      <c r="AU5" s="17" t="s">
        <v>27</v>
      </c>
      <c r="AV5" s="17"/>
      <c r="AW5" s="17" t="s">
        <v>143</v>
      </c>
      <c r="AX5" s="17" t="s">
        <v>147</v>
      </c>
      <c r="AY5" s="17" t="s">
        <v>151</v>
      </c>
      <c r="AZ5" s="17" t="s">
        <v>153</v>
      </c>
      <c r="BA5" s="17"/>
      <c r="BB5" s="17" t="s">
        <v>158</v>
      </c>
      <c r="BC5" s="17" t="s">
        <v>161</v>
      </c>
      <c r="BD5" s="17" t="s">
        <v>163</v>
      </c>
      <c r="BE5" s="17"/>
      <c r="BF5" s="17" t="s">
        <v>167</v>
      </c>
      <c r="BG5" s="17" t="s">
        <v>170</v>
      </c>
      <c r="BH5" s="17" t="n">
        <v>3</v>
      </c>
      <c r="BI5" s="17"/>
      <c r="BJ5" s="17" t="s">
        <v>28</v>
      </c>
      <c r="BK5" s="17" t="s">
        <v>177</v>
      </c>
      <c r="BL5" s="17"/>
      <c r="BM5" s="17"/>
      <c r="BN5" s="17" t="s">
        <v>183</v>
      </c>
      <c r="BO5" s="17" t="s">
        <v>185</v>
      </c>
      <c r="BP5" s="17" t="s">
        <v>187</v>
      </c>
      <c r="BQ5" s="17" t="s">
        <v>189</v>
      </c>
      <c r="BR5" s="17" t="s">
        <v>193</v>
      </c>
      <c r="BS5" s="17" t="n">
        <v>3</v>
      </c>
    </row>
    <row r="6" customFormat="false" ht="91" hidden="false" customHeight="false" outlineLevel="0" collapsed="false">
      <c r="A6" s="19" t="s">
        <v>213</v>
      </c>
      <c r="B6" s="19" t="s">
        <v>214</v>
      </c>
      <c r="C6" s="19" t="s">
        <v>215</v>
      </c>
      <c r="D6" s="19" t="s">
        <v>216</v>
      </c>
      <c r="E6" s="19" t="s">
        <v>217</v>
      </c>
      <c r="F6" s="19" t="s">
        <v>43</v>
      </c>
      <c r="G6" s="19" t="s">
        <v>218</v>
      </c>
      <c r="H6" s="20" t="s">
        <v>219</v>
      </c>
      <c r="I6" s="19" t="s">
        <v>220</v>
      </c>
      <c r="J6" s="19" t="s">
        <v>220</v>
      </c>
      <c r="K6" s="19" t="s">
        <v>221</v>
      </c>
      <c r="L6" s="21" t="n">
        <v>46278.3541666667</v>
      </c>
      <c r="M6" s="21" t="n">
        <v>46278.3543402778</v>
      </c>
      <c r="N6" s="21" t="n">
        <v>46278.3645833333</v>
      </c>
      <c r="O6" s="21" t="n">
        <v>46278.3631944444</v>
      </c>
      <c r="P6" s="21" t="n">
        <v>46278.3631944444</v>
      </c>
      <c r="Q6" s="21" t="n">
        <v>46278.36875</v>
      </c>
      <c r="R6" s="21" t="n">
        <v>46278.3888888889</v>
      </c>
      <c r="S6" s="19" t="s">
        <v>222</v>
      </c>
      <c r="T6" s="19" t="s">
        <v>74</v>
      </c>
      <c r="U6" s="19" t="n">
        <v>5</v>
      </c>
      <c r="V6" s="19" t="s">
        <v>223</v>
      </c>
      <c r="W6" s="19" t="n">
        <v>1</v>
      </c>
      <c r="X6" s="19" t="n">
        <v>4</v>
      </c>
      <c r="Y6" s="19" t="n">
        <v>4</v>
      </c>
      <c r="Z6" s="19" t="n">
        <v>480</v>
      </c>
      <c r="AA6" s="19" t="n">
        <v>5</v>
      </c>
      <c r="AB6" s="19" t="n">
        <f aca="false">IF(NOT(ISNUMBER(Q6)),"",IF(E6="organizer_case",IF(ISNUMBER(P6),ROUND((Q6-P6)*86400,0),""),IF(J6="ADVANCE",IF(ISNUMBER(O6),ROUND((Q6-MAX(O6,N6))*86400,0),""),IF(ISNUMBER(O6),ROUND((Q6-O6)*86400,0),""))))</f>
        <v>480</v>
      </c>
      <c r="AC6" s="19" t="n">
        <f aca="false">IF(AND(ISNUMBER(Q6),ISNUMBER(R6)),ROUND(R6-Q6,2),"")</f>
        <v>0.02</v>
      </c>
      <c r="AD6" s="19" t="n">
        <f aca="false">IF(AND(ISNUMBER(AB6),ISNUMBER(Z6)),AB6-Z6,"")</f>
        <v>0</v>
      </c>
      <c r="AE6" s="19" t="n">
        <v>0</v>
      </c>
      <c r="AF6" s="19" t="s">
        <v>99</v>
      </c>
      <c r="AG6" s="22"/>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4"/>
      <c r="BH6" s="23"/>
      <c r="BI6" s="23"/>
      <c r="BJ6" s="19" t="s">
        <v>213</v>
      </c>
      <c r="BK6" s="19" t="s">
        <v>177</v>
      </c>
      <c r="BL6" s="19"/>
      <c r="BM6" s="19"/>
      <c r="BN6" s="23"/>
      <c r="BO6" s="23"/>
      <c r="BP6" s="19" t="s">
        <v>187</v>
      </c>
      <c r="BQ6" s="19" t="s">
        <v>224</v>
      </c>
      <c r="BR6" s="19" t="s">
        <v>193</v>
      </c>
      <c r="BS6" s="23"/>
    </row>
    <row r="7" customFormat="false" ht="15" hidden="false" customHeight="false" outlineLevel="0" collapsed="false">
      <c r="A7" s="19"/>
      <c r="B7" s="19"/>
      <c r="C7" s="19"/>
      <c r="D7" s="19"/>
      <c r="E7" s="19"/>
      <c r="F7" s="19"/>
      <c r="G7" s="19"/>
      <c r="H7" s="20"/>
      <c r="I7" s="19"/>
      <c r="J7" s="19"/>
      <c r="K7" s="19"/>
      <c r="L7" s="21"/>
      <c r="M7" s="21"/>
      <c r="N7" s="21"/>
      <c r="O7" s="21"/>
      <c r="P7" s="21"/>
      <c r="Q7" s="21"/>
      <c r="R7" s="21"/>
      <c r="S7" s="19"/>
      <c r="T7" s="19"/>
      <c r="U7" s="19"/>
      <c r="V7" s="19"/>
      <c r="W7" s="19"/>
      <c r="X7" s="19"/>
      <c r="Y7" s="19"/>
      <c r="Z7" s="19"/>
      <c r="AA7" s="19"/>
      <c r="AB7" s="19" t="str">
        <f aca="false">IF(NOT(ISNUMBER(Q7)),"",IF(E7="organizer_case",IF(ISNUMBER(P7),ROUND((Q7-P7)*86400,0),""),IF(J7="ADVANCE",IF(ISNUMBER(O7),ROUND((Q7-MAX(O7,N7))*86400,0),""),IF(ISNUMBER(O7),ROUND((Q7-O7)*86400,0),""))))</f>
        <v/>
      </c>
      <c r="AC7" s="19" t="str">
        <f aca="false">IF(AND(ISNUMBER(Q7),ISNUMBER(R7)),ROUND(R7-Q7,2),"")</f>
        <v/>
      </c>
      <c r="AD7" s="19" t="str">
        <f aca="false">IF(AND(ISNUMBER(AB7),ISNUMBER(Z7)),AB7-Z7,"")</f>
        <v/>
      </c>
      <c r="AE7" s="19"/>
      <c r="AF7" s="19"/>
      <c r="AG7" s="22"/>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4"/>
      <c r="BH7" s="23"/>
      <c r="BI7" s="23"/>
      <c r="BJ7" s="19"/>
      <c r="BK7" s="19"/>
      <c r="BL7" s="19"/>
      <c r="BM7" s="19"/>
      <c r="BN7" s="23"/>
      <c r="BO7" s="23"/>
      <c r="BP7" s="19"/>
      <c r="BQ7" s="19"/>
      <c r="BR7" s="19"/>
      <c r="BS7" s="23"/>
    </row>
    <row r="8" customFormat="false" ht="15" hidden="false" customHeight="false" outlineLevel="0" collapsed="false">
      <c r="A8" s="19"/>
      <c r="B8" s="19"/>
      <c r="C8" s="19"/>
      <c r="D8" s="19"/>
      <c r="E8" s="19"/>
      <c r="F8" s="19"/>
      <c r="G8" s="19"/>
      <c r="H8" s="20"/>
      <c r="I8" s="19"/>
      <c r="J8" s="19"/>
      <c r="K8" s="19"/>
      <c r="L8" s="21"/>
      <c r="M8" s="21"/>
      <c r="N8" s="21"/>
      <c r="O8" s="21"/>
      <c r="P8" s="21"/>
      <c r="Q8" s="21"/>
      <c r="R8" s="21"/>
      <c r="S8" s="19"/>
      <c r="T8" s="19"/>
      <c r="U8" s="19"/>
      <c r="V8" s="19"/>
      <c r="W8" s="19"/>
      <c r="X8" s="19"/>
      <c r="Y8" s="19"/>
      <c r="Z8" s="19"/>
      <c r="AA8" s="19"/>
      <c r="AB8" s="19" t="str">
        <f aca="false">IF(NOT(ISNUMBER(Q8)),"",IF(E8="organizer_case",IF(ISNUMBER(P8),ROUND((Q8-P8)*86400,0),""),IF(J8="ADVANCE",IF(ISNUMBER(O8),ROUND((Q8-MAX(O8,N8))*86400,0),""),IF(ISNUMBER(O8),ROUND((Q8-O8)*86400,0),""))))</f>
        <v/>
      </c>
      <c r="AC8" s="19" t="str">
        <f aca="false">IF(AND(ISNUMBER(Q8),ISNUMBER(R8)),ROUND(R8-Q8,2),"")</f>
        <v/>
      </c>
      <c r="AD8" s="19" t="str">
        <f aca="false">IF(AND(ISNUMBER(AB8),ISNUMBER(Z8)),AB8-Z8,"")</f>
        <v/>
      </c>
      <c r="AE8" s="19"/>
      <c r="AF8" s="19"/>
      <c r="AG8" s="22"/>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4"/>
      <c r="BH8" s="23"/>
      <c r="BI8" s="23"/>
      <c r="BJ8" s="19"/>
      <c r="BK8" s="19"/>
      <c r="BL8" s="19"/>
      <c r="BM8" s="19"/>
      <c r="BN8" s="23"/>
      <c r="BO8" s="23"/>
      <c r="BP8" s="19"/>
      <c r="BQ8" s="19"/>
      <c r="BR8" s="19"/>
      <c r="BS8" s="23"/>
    </row>
    <row r="9" customFormat="false" ht="15" hidden="false" customHeight="false" outlineLevel="0" collapsed="false">
      <c r="A9" s="19"/>
      <c r="B9" s="19"/>
      <c r="C9" s="19"/>
      <c r="D9" s="19"/>
      <c r="E9" s="19"/>
      <c r="F9" s="19"/>
      <c r="G9" s="19"/>
      <c r="H9" s="20"/>
      <c r="I9" s="19"/>
      <c r="J9" s="19"/>
      <c r="K9" s="19"/>
      <c r="L9" s="21"/>
      <c r="M9" s="21"/>
      <c r="N9" s="21"/>
      <c r="O9" s="21"/>
      <c r="P9" s="21"/>
      <c r="Q9" s="21"/>
      <c r="R9" s="21"/>
      <c r="S9" s="19"/>
      <c r="T9" s="19"/>
      <c r="U9" s="19"/>
      <c r="V9" s="19"/>
      <c r="W9" s="19"/>
      <c r="X9" s="19"/>
      <c r="Y9" s="19"/>
      <c r="Z9" s="19"/>
      <c r="AA9" s="19"/>
      <c r="AB9" s="19" t="str">
        <f aca="false">IF(NOT(ISNUMBER(Q9)),"",IF(E9="organizer_case",IF(ISNUMBER(P9),ROUND((Q9-P9)*86400,0),""),IF(J9="ADVANCE",IF(ISNUMBER(O9),ROUND((Q9-MAX(O9,N9))*86400,0),""),IF(ISNUMBER(O9),ROUND((Q9-O9)*86400,0),""))))</f>
        <v/>
      </c>
      <c r="AC9" s="19" t="str">
        <f aca="false">IF(AND(ISNUMBER(Q9),ISNUMBER(R9)),ROUND(R9-Q9,2),"")</f>
        <v/>
      </c>
      <c r="AD9" s="19" t="str">
        <f aca="false">IF(AND(ISNUMBER(AB9),ISNUMBER(Z9)),AB9-Z9,"")</f>
        <v/>
      </c>
      <c r="AE9" s="19"/>
      <c r="AF9" s="19"/>
      <c r="AG9" s="22"/>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4"/>
      <c r="BH9" s="23"/>
      <c r="BI9" s="23"/>
      <c r="BJ9" s="19"/>
      <c r="BK9" s="19"/>
      <c r="BL9" s="19"/>
      <c r="BM9" s="19"/>
      <c r="BN9" s="23"/>
      <c r="BO9" s="23"/>
      <c r="BP9" s="19"/>
      <c r="BQ9" s="19"/>
      <c r="BR9" s="19"/>
      <c r="BS9" s="23"/>
    </row>
    <row r="10" customFormat="false" ht="15" hidden="false" customHeight="false" outlineLevel="0" collapsed="false">
      <c r="A10" s="19"/>
      <c r="B10" s="19"/>
      <c r="C10" s="19"/>
      <c r="D10" s="19"/>
      <c r="E10" s="19"/>
      <c r="F10" s="19"/>
      <c r="G10" s="19"/>
      <c r="H10" s="20"/>
      <c r="I10" s="19"/>
      <c r="J10" s="19"/>
      <c r="K10" s="19"/>
      <c r="L10" s="21"/>
      <c r="M10" s="21"/>
      <c r="N10" s="21"/>
      <c r="O10" s="21"/>
      <c r="P10" s="21"/>
      <c r="Q10" s="21"/>
      <c r="R10" s="21"/>
      <c r="S10" s="19"/>
      <c r="T10" s="19"/>
      <c r="U10" s="19"/>
      <c r="V10" s="19"/>
      <c r="W10" s="19"/>
      <c r="X10" s="19"/>
      <c r="Y10" s="19"/>
      <c r="Z10" s="19"/>
      <c r="AA10" s="19"/>
      <c r="AB10" s="19" t="str">
        <f aca="false">IF(NOT(ISNUMBER(Q10)),"",IF(E10="organizer_case",IF(ISNUMBER(P10),ROUND((Q10-P10)*86400,0),""),IF(J10="ADVANCE",IF(ISNUMBER(O10),ROUND((Q10-MAX(O10,N10))*86400,0),""),IF(ISNUMBER(O10),ROUND((Q10-O10)*86400,0),""))))</f>
        <v/>
      </c>
      <c r="AC10" s="19" t="str">
        <f aca="false">IF(AND(ISNUMBER(Q10),ISNUMBER(R10)),ROUND(R10-Q10,2),"")</f>
        <v/>
      </c>
      <c r="AD10" s="19" t="str">
        <f aca="false">IF(AND(ISNUMBER(AB10),ISNUMBER(Z10)),AB10-Z10,"")</f>
        <v/>
      </c>
      <c r="AE10" s="19"/>
      <c r="AF10" s="19"/>
      <c r="AG10" s="22"/>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4"/>
      <c r="BH10" s="23"/>
      <c r="BI10" s="23"/>
      <c r="BJ10" s="19"/>
      <c r="BK10" s="19"/>
      <c r="BL10" s="19"/>
      <c r="BM10" s="19"/>
      <c r="BN10" s="23"/>
      <c r="BO10" s="23"/>
      <c r="BP10" s="19"/>
      <c r="BQ10" s="19"/>
      <c r="BR10" s="19"/>
      <c r="BS10" s="23"/>
    </row>
    <row r="11" customFormat="false" ht="15" hidden="false" customHeight="false" outlineLevel="0" collapsed="false">
      <c r="A11" s="19"/>
      <c r="B11" s="19"/>
      <c r="C11" s="19"/>
      <c r="D11" s="19"/>
      <c r="E11" s="19"/>
      <c r="F11" s="19"/>
      <c r="G11" s="19"/>
      <c r="H11" s="20"/>
      <c r="I11" s="19"/>
      <c r="J11" s="19"/>
      <c r="K11" s="19"/>
      <c r="L11" s="21"/>
      <c r="M11" s="21"/>
      <c r="N11" s="21"/>
      <c r="O11" s="21"/>
      <c r="P11" s="21"/>
      <c r="Q11" s="21"/>
      <c r="R11" s="21"/>
      <c r="S11" s="19"/>
      <c r="T11" s="19"/>
      <c r="U11" s="19"/>
      <c r="V11" s="19"/>
      <c r="W11" s="19"/>
      <c r="X11" s="19"/>
      <c r="Y11" s="19"/>
      <c r="Z11" s="19"/>
      <c r="AA11" s="19"/>
      <c r="AB11" s="19" t="str">
        <f aca="false">IF(NOT(ISNUMBER(Q11)),"",IF(E11="organizer_case",IF(ISNUMBER(P11),ROUND((Q11-P11)*86400,0),""),IF(J11="ADVANCE",IF(ISNUMBER(O11),ROUND((Q11-MAX(O11,N11))*86400,0),""),IF(ISNUMBER(O11),ROUND((Q11-O11)*86400,0),""))))</f>
        <v/>
      </c>
      <c r="AC11" s="19" t="str">
        <f aca="false">IF(AND(ISNUMBER(Q11),ISNUMBER(R11)),ROUND(R11-Q11,2),"")</f>
        <v/>
      </c>
      <c r="AD11" s="19" t="str">
        <f aca="false">IF(AND(ISNUMBER(AB11),ISNUMBER(Z11)),AB11-Z11,"")</f>
        <v/>
      </c>
      <c r="AE11" s="19"/>
      <c r="AF11" s="19"/>
      <c r="AG11" s="22"/>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4"/>
      <c r="BH11" s="23"/>
      <c r="BI11" s="23"/>
      <c r="BJ11" s="19"/>
      <c r="BK11" s="19"/>
      <c r="BL11" s="19"/>
      <c r="BM11" s="19"/>
      <c r="BN11" s="23"/>
      <c r="BO11" s="23"/>
      <c r="BP11" s="19"/>
      <c r="BQ11" s="19"/>
      <c r="BR11" s="19"/>
      <c r="BS11" s="23"/>
    </row>
    <row r="12" customFormat="false" ht="15" hidden="false" customHeight="false" outlineLevel="0" collapsed="false">
      <c r="A12" s="19"/>
      <c r="B12" s="19"/>
      <c r="C12" s="19"/>
      <c r="D12" s="19"/>
      <c r="E12" s="19"/>
      <c r="F12" s="19"/>
      <c r="G12" s="19"/>
      <c r="H12" s="20"/>
      <c r="I12" s="19"/>
      <c r="J12" s="19"/>
      <c r="K12" s="19"/>
      <c r="L12" s="21"/>
      <c r="M12" s="21"/>
      <c r="N12" s="21"/>
      <c r="O12" s="21"/>
      <c r="P12" s="21"/>
      <c r="Q12" s="21"/>
      <c r="R12" s="21"/>
      <c r="S12" s="19"/>
      <c r="T12" s="19"/>
      <c r="U12" s="19"/>
      <c r="V12" s="19"/>
      <c r="W12" s="19"/>
      <c r="X12" s="19"/>
      <c r="Y12" s="19"/>
      <c r="Z12" s="19"/>
      <c r="AA12" s="19"/>
      <c r="AB12" s="19" t="str">
        <f aca="false">IF(NOT(ISNUMBER(Q12)),"",IF(E12="organizer_case",IF(ISNUMBER(P12),ROUND((Q12-P12)*86400,0),""),IF(J12="ADVANCE",IF(ISNUMBER(O12),ROUND((Q12-MAX(O12,N12))*86400,0),""),IF(ISNUMBER(O12),ROUND((Q12-O12)*86400,0),""))))</f>
        <v/>
      </c>
      <c r="AC12" s="19" t="str">
        <f aca="false">IF(AND(ISNUMBER(Q12),ISNUMBER(R12)),ROUND(R12-Q12,2),"")</f>
        <v/>
      </c>
      <c r="AD12" s="19" t="str">
        <f aca="false">IF(AND(ISNUMBER(AB12),ISNUMBER(Z12)),AB12-Z12,"")</f>
        <v/>
      </c>
      <c r="AE12" s="19"/>
      <c r="AF12" s="19"/>
      <c r="AG12" s="22"/>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4"/>
      <c r="BH12" s="23"/>
      <c r="BI12" s="23"/>
      <c r="BJ12" s="19"/>
      <c r="BK12" s="19"/>
      <c r="BL12" s="19"/>
      <c r="BM12" s="19"/>
      <c r="BN12" s="23"/>
      <c r="BO12" s="23"/>
      <c r="BP12" s="19"/>
      <c r="BQ12" s="19"/>
      <c r="BR12" s="19"/>
      <c r="BS12" s="23"/>
    </row>
    <row r="13" customFormat="false" ht="15" hidden="false" customHeight="false" outlineLevel="0" collapsed="false">
      <c r="A13" s="19"/>
      <c r="B13" s="19"/>
      <c r="C13" s="19"/>
      <c r="D13" s="19"/>
      <c r="E13" s="19"/>
      <c r="F13" s="19"/>
      <c r="G13" s="19"/>
      <c r="H13" s="20"/>
      <c r="I13" s="19"/>
      <c r="J13" s="19"/>
      <c r="K13" s="19"/>
      <c r="L13" s="21"/>
      <c r="M13" s="21"/>
      <c r="N13" s="21"/>
      <c r="O13" s="21"/>
      <c r="P13" s="21"/>
      <c r="Q13" s="21"/>
      <c r="R13" s="21"/>
      <c r="S13" s="19"/>
      <c r="T13" s="19"/>
      <c r="U13" s="19"/>
      <c r="V13" s="19"/>
      <c r="W13" s="19"/>
      <c r="X13" s="19"/>
      <c r="Y13" s="19"/>
      <c r="Z13" s="19"/>
      <c r="AA13" s="19"/>
      <c r="AB13" s="19" t="str">
        <f aca="false">IF(NOT(ISNUMBER(Q13)),"",IF(E13="organizer_case",IF(ISNUMBER(P13),ROUND((Q13-P13)*86400,0),""),IF(J13="ADVANCE",IF(ISNUMBER(O13),ROUND((Q13-MAX(O13,N13))*86400,0),""),IF(ISNUMBER(O13),ROUND((Q13-O13)*86400,0),""))))</f>
        <v/>
      </c>
      <c r="AC13" s="19" t="str">
        <f aca="false">IF(AND(ISNUMBER(Q13),ISNUMBER(R13)),ROUND(R13-Q13,2),"")</f>
        <v/>
      </c>
      <c r="AD13" s="19" t="str">
        <f aca="false">IF(AND(ISNUMBER(AB13),ISNUMBER(Z13)),AB13-Z13,"")</f>
        <v/>
      </c>
      <c r="AE13" s="19"/>
      <c r="AF13" s="19"/>
      <c r="AG13" s="22"/>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4"/>
      <c r="BH13" s="23"/>
      <c r="BI13" s="23"/>
      <c r="BJ13" s="19"/>
      <c r="BK13" s="19"/>
      <c r="BL13" s="19"/>
      <c r="BM13" s="19"/>
      <c r="BN13" s="23"/>
      <c r="BO13" s="23"/>
      <c r="BP13" s="19"/>
      <c r="BQ13" s="19"/>
      <c r="BR13" s="19"/>
      <c r="BS13" s="23"/>
    </row>
    <row r="14" customFormat="false" ht="15" hidden="false" customHeight="false" outlineLevel="0" collapsed="false">
      <c r="A14" s="19"/>
      <c r="B14" s="19"/>
      <c r="C14" s="19"/>
      <c r="D14" s="19"/>
      <c r="E14" s="19"/>
      <c r="F14" s="19"/>
      <c r="G14" s="19"/>
      <c r="H14" s="20"/>
      <c r="I14" s="19"/>
      <c r="J14" s="19"/>
      <c r="K14" s="19"/>
      <c r="L14" s="21"/>
      <c r="M14" s="21"/>
      <c r="N14" s="21"/>
      <c r="O14" s="21"/>
      <c r="P14" s="21"/>
      <c r="Q14" s="21"/>
      <c r="R14" s="21"/>
      <c r="S14" s="19"/>
      <c r="T14" s="19"/>
      <c r="U14" s="19"/>
      <c r="V14" s="19"/>
      <c r="W14" s="19"/>
      <c r="X14" s="19"/>
      <c r="Y14" s="19"/>
      <c r="Z14" s="19"/>
      <c r="AA14" s="19"/>
      <c r="AB14" s="19" t="str">
        <f aca="false">IF(NOT(ISNUMBER(Q14)),"",IF(E14="organizer_case",IF(ISNUMBER(P14),ROUND((Q14-P14)*86400,0),""),IF(J14="ADVANCE",IF(ISNUMBER(O14),ROUND((Q14-MAX(O14,N14))*86400,0),""),IF(ISNUMBER(O14),ROUND((Q14-O14)*86400,0),""))))</f>
        <v/>
      </c>
      <c r="AC14" s="19" t="str">
        <f aca="false">IF(AND(ISNUMBER(Q14),ISNUMBER(R14)),ROUND(R14-Q14,2),"")</f>
        <v/>
      </c>
      <c r="AD14" s="19" t="str">
        <f aca="false">IF(AND(ISNUMBER(AB14),ISNUMBER(Z14)),AB14-Z14,"")</f>
        <v/>
      </c>
      <c r="AE14" s="19"/>
      <c r="AF14" s="19"/>
      <c r="AG14" s="22"/>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4"/>
      <c r="BH14" s="23"/>
      <c r="BI14" s="23"/>
      <c r="BJ14" s="19"/>
      <c r="BK14" s="19"/>
      <c r="BL14" s="19"/>
      <c r="BM14" s="19"/>
      <c r="BN14" s="23"/>
      <c r="BO14" s="23"/>
      <c r="BP14" s="19"/>
      <c r="BQ14" s="19"/>
      <c r="BR14" s="19"/>
      <c r="BS14" s="23"/>
    </row>
    <row r="15" customFormat="false" ht="15" hidden="false" customHeight="false" outlineLevel="0" collapsed="false">
      <c r="A15" s="19"/>
      <c r="B15" s="19"/>
      <c r="C15" s="19"/>
      <c r="D15" s="19"/>
      <c r="E15" s="19"/>
      <c r="F15" s="19"/>
      <c r="G15" s="19"/>
      <c r="H15" s="20"/>
      <c r="I15" s="19"/>
      <c r="J15" s="19"/>
      <c r="K15" s="19"/>
      <c r="L15" s="21"/>
      <c r="M15" s="21"/>
      <c r="N15" s="21"/>
      <c r="O15" s="21"/>
      <c r="P15" s="21"/>
      <c r="Q15" s="21"/>
      <c r="R15" s="21"/>
      <c r="S15" s="19"/>
      <c r="T15" s="19"/>
      <c r="U15" s="19"/>
      <c r="V15" s="19"/>
      <c r="W15" s="19"/>
      <c r="X15" s="19"/>
      <c r="Y15" s="19"/>
      <c r="Z15" s="19"/>
      <c r="AA15" s="19"/>
      <c r="AB15" s="19" t="str">
        <f aca="false">IF(NOT(ISNUMBER(Q15)),"",IF(E15="organizer_case",IF(ISNUMBER(P15),ROUND((Q15-P15)*86400,0),""),IF(J15="ADVANCE",IF(ISNUMBER(O15),ROUND((Q15-MAX(O15,N15))*86400,0),""),IF(ISNUMBER(O15),ROUND((Q15-O15)*86400,0),""))))</f>
        <v/>
      </c>
      <c r="AC15" s="19" t="str">
        <f aca="false">IF(AND(ISNUMBER(Q15),ISNUMBER(R15)),ROUND(R15-Q15,2),"")</f>
        <v/>
      </c>
      <c r="AD15" s="19" t="str">
        <f aca="false">IF(AND(ISNUMBER(AB15),ISNUMBER(Z15)),AB15-Z15,"")</f>
        <v/>
      </c>
      <c r="AE15" s="19"/>
      <c r="AF15" s="19"/>
      <c r="AG15" s="22"/>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4"/>
      <c r="BH15" s="23"/>
      <c r="BI15" s="23"/>
      <c r="BJ15" s="19"/>
      <c r="BK15" s="19"/>
      <c r="BL15" s="19"/>
      <c r="BM15" s="19"/>
      <c r="BN15" s="23"/>
      <c r="BO15" s="23"/>
      <c r="BP15" s="19"/>
      <c r="BQ15" s="19"/>
      <c r="BR15" s="19"/>
      <c r="BS15" s="23"/>
    </row>
    <row r="16" customFormat="false" ht="15" hidden="false" customHeight="false" outlineLevel="0" collapsed="false">
      <c r="A16" s="19"/>
      <c r="B16" s="19"/>
      <c r="C16" s="19"/>
      <c r="D16" s="19"/>
      <c r="E16" s="19"/>
      <c r="F16" s="19"/>
      <c r="G16" s="19"/>
      <c r="H16" s="20"/>
      <c r="I16" s="19"/>
      <c r="J16" s="19"/>
      <c r="K16" s="19"/>
      <c r="L16" s="21"/>
      <c r="M16" s="21"/>
      <c r="N16" s="21"/>
      <c r="O16" s="21"/>
      <c r="P16" s="21"/>
      <c r="Q16" s="21"/>
      <c r="R16" s="21"/>
      <c r="S16" s="19"/>
      <c r="T16" s="19"/>
      <c r="U16" s="19"/>
      <c r="V16" s="19"/>
      <c r="W16" s="19"/>
      <c r="X16" s="19"/>
      <c r="Y16" s="19"/>
      <c r="Z16" s="19"/>
      <c r="AA16" s="19"/>
      <c r="AB16" s="19" t="str">
        <f aca="false">IF(NOT(ISNUMBER(Q16)),"",IF(E16="organizer_case",IF(ISNUMBER(P16),ROUND((Q16-P16)*86400,0),""),IF(J16="ADVANCE",IF(ISNUMBER(O16),ROUND((Q16-MAX(O16,N16))*86400,0),""),IF(ISNUMBER(O16),ROUND((Q16-O16)*86400,0),""))))</f>
        <v/>
      </c>
      <c r="AC16" s="19" t="str">
        <f aca="false">IF(AND(ISNUMBER(Q16),ISNUMBER(R16)),ROUND(R16-Q16,2),"")</f>
        <v/>
      </c>
      <c r="AD16" s="19" t="str">
        <f aca="false">IF(AND(ISNUMBER(AB16),ISNUMBER(Z16)),AB16-Z16,"")</f>
        <v/>
      </c>
      <c r="AE16" s="19"/>
      <c r="AF16" s="19"/>
      <c r="AG16" s="22"/>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4"/>
      <c r="BH16" s="23"/>
      <c r="BI16" s="23"/>
      <c r="BJ16" s="19"/>
      <c r="BK16" s="19"/>
      <c r="BL16" s="19"/>
      <c r="BM16" s="19"/>
      <c r="BN16" s="23"/>
      <c r="BO16" s="23"/>
      <c r="BP16" s="19"/>
      <c r="BQ16" s="19"/>
      <c r="BR16" s="19"/>
      <c r="BS16" s="23"/>
    </row>
    <row r="17" customFormat="false" ht="15" hidden="false" customHeight="false" outlineLevel="0" collapsed="false">
      <c r="A17" s="19"/>
      <c r="B17" s="19"/>
      <c r="C17" s="19"/>
      <c r="D17" s="19"/>
      <c r="E17" s="19"/>
      <c r="F17" s="19"/>
      <c r="G17" s="19"/>
      <c r="H17" s="20"/>
      <c r="I17" s="19"/>
      <c r="J17" s="19"/>
      <c r="K17" s="19"/>
      <c r="L17" s="21"/>
      <c r="M17" s="21"/>
      <c r="N17" s="21"/>
      <c r="O17" s="21"/>
      <c r="P17" s="21"/>
      <c r="Q17" s="21"/>
      <c r="R17" s="21"/>
      <c r="S17" s="19"/>
      <c r="T17" s="19"/>
      <c r="U17" s="19"/>
      <c r="V17" s="19"/>
      <c r="W17" s="19"/>
      <c r="X17" s="19"/>
      <c r="Y17" s="19"/>
      <c r="Z17" s="19"/>
      <c r="AA17" s="19"/>
      <c r="AB17" s="19" t="str">
        <f aca="false">IF(NOT(ISNUMBER(Q17)),"",IF(E17="organizer_case",IF(ISNUMBER(P17),ROUND((Q17-P17)*86400,0),""),IF(J17="ADVANCE",IF(ISNUMBER(O17),ROUND((Q17-MAX(O17,N17))*86400,0),""),IF(ISNUMBER(O17),ROUND((Q17-O17)*86400,0),""))))</f>
        <v/>
      </c>
      <c r="AC17" s="19" t="str">
        <f aca="false">IF(AND(ISNUMBER(Q17),ISNUMBER(R17)),ROUND(R17-Q17,2),"")</f>
        <v/>
      </c>
      <c r="AD17" s="19" t="str">
        <f aca="false">IF(AND(ISNUMBER(AB17),ISNUMBER(Z17)),AB17-Z17,"")</f>
        <v/>
      </c>
      <c r="AE17" s="19"/>
      <c r="AF17" s="19"/>
      <c r="AG17" s="22"/>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4"/>
      <c r="BH17" s="23"/>
      <c r="BI17" s="23"/>
      <c r="BJ17" s="19"/>
      <c r="BK17" s="19"/>
      <c r="BL17" s="19"/>
      <c r="BM17" s="19"/>
      <c r="BN17" s="23"/>
      <c r="BO17" s="23"/>
      <c r="BP17" s="19"/>
      <c r="BQ17" s="19"/>
      <c r="BR17" s="19"/>
      <c r="BS17" s="23"/>
    </row>
    <row r="18" customFormat="false" ht="15" hidden="false" customHeight="false" outlineLevel="0" collapsed="false">
      <c r="A18" s="19"/>
      <c r="B18" s="19"/>
      <c r="C18" s="19"/>
      <c r="D18" s="19"/>
      <c r="E18" s="19"/>
      <c r="F18" s="19"/>
      <c r="G18" s="19"/>
      <c r="H18" s="20"/>
      <c r="I18" s="19"/>
      <c r="J18" s="19"/>
      <c r="K18" s="19"/>
      <c r="L18" s="21"/>
      <c r="M18" s="21"/>
      <c r="N18" s="21"/>
      <c r="O18" s="21"/>
      <c r="P18" s="21"/>
      <c r="Q18" s="21"/>
      <c r="R18" s="21"/>
      <c r="S18" s="19"/>
      <c r="T18" s="19"/>
      <c r="U18" s="19"/>
      <c r="V18" s="19"/>
      <c r="W18" s="19"/>
      <c r="X18" s="19"/>
      <c r="Y18" s="19"/>
      <c r="Z18" s="19"/>
      <c r="AA18" s="19"/>
      <c r="AB18" s="19" t="str">
        <f aca="false">IF(NOT(ISNUMBER(Q18)),"",IF(E18="organizer_case",IF(ISNUMBER(P18),ROUND((Q18-P18)*86400,0),""),IF(J18="ADVANCE",IF(ISNUMBER(O18),ROUND((Q18-MAX(O18,N18))*86400,0),""),IF(ISNUMBER(O18),ROUND((Q18-O18)*86400,0),""))))</f>
        <v/>
      </c>
      <c r="AC18" s="19" t="str">
        <f aca="false">IF(AND(ISNUMBER(Q18),ISNUMBER(R18)),ROUND(R18-Q18,2),"")</f>
        <v/>
      </c>
      <c r="AD18" s="19" t="str">
        <f aca="false">IF(AND(ISNUMBER(AB18),ISNUMBER(Z18)),AB18-Z18,"")</f>
        <v/>
      </c>
      <c r="AE18" s="19"/>
      <c r="AF18" s="19"/>
      <c r="AG18" s="22"/>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4"/>
      <c r="BH18" s="23"/>
      <c r="BI18" s="23"/>
      <c r="BJ18" s="19"/>
      <c r="BK18" s="19"/>
      <c r="BL18" s="19"/>
      <c r="BM18" s="19"/>
      <c r="BN18" s="23"/>
      <c r="BO18" s="23"/>
      <c r="BP18" s="19"/>
      <c r="BQ18" s="19"/>
      <c r="BR18" s="19"/>
      <c r="BS18" s="23"/>
    </row>
    <row r="19" customFormat="false" ht="15" hidden="false" customHeight="false" outlineLevel="0" collapsed="false">
      <c r="A19" s="19"/>
      <c r="B19" s="19"/>
      <c r="C19" s="19"/>
      <c r="D19" s="19"/>
      <c r="E19" s="19"/>
      <c r="F19" s="19"/>
      <c r="G19" s="19"/>
      <c r="H19" s="20"/>
      <c r="I19" s="19"/>
      <c r="J19" s="19"/>
      <c r="K19" s="19"/>
      <c r="L19" s="21"/>
      <c r="M19" s="21"/>
      <c r="N19" s="21"/>
      <c r="O19" s="21"/>
      <c r="P19" s="21"/>
      <c r="Q19" s="21"/>
      <c r="R19" s="21"/>
      <c r="S19" s="19"/>
      <c r="T19" s="19"/>
      <c r="U19" s="19"/>
      <c r="V19" s="19"/>
      <c r="W19" s="19"/>
      <c r="X19" s="19"/>
      <c r="Y19" s="19"/>
      <c r="Z19" s="19"/>
      <c r="AA19" s="19"/>
      <c r="AB19" s="19" t="str">
        <f aca="false">IF(NOT(ISNUMBER(Q19)),"",IF(E19="organizer_case",IF(ISNUMBER(P19),ROUND((Q19-P19)*86400,0),""),IF(J19="ADVANCE",IF(ISNUMBER(O19),ROUND((Q19-MAX(O19,N19))*86400,0),""),IF(ISNUMBER(O19),ROUND((Q19-O19)*86400,0),""))))</f>
        <v/>
      </c>
      <c r="AC19" s="19" t="str">
        <f aca="false">IF(AND(ISNUMBER(Q19),ISNUMBER(R19)),ROUND(R19-Q19,2),"")</f>
        <v/>
      </c>
      <c r="AD19" s="19" t="str">
        <f aca="false">IF(AND(ISNUMBER(AB19),ISNUMBER(Z19)),AB19-Z19,"")</f>
        <v/>
      </c>
      <c r="AE19" s="19"/>
      <c r="AF19" s="19"/>
      <c r="AG19" s="22"/>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4"/>
      <c r="BH19" s="23"/>
      <c r="BI19" s="23"/>
      <c r="BJ19" s="19"/>
      <c r="BK19" s="19"/>
      <c r="BL19" s="19"/>
      <c r="BM19" s="19"/>
      <c r="BN19" s="23"/>
      <c r="BO19" s="23"/>
      <c r="BP19" s="19"/>
      <c r="BQ19" s="19"/>
      <c r="BR19" s="19"/>
      <c r="BS19" s="23"/>
    </row>
    <row r="20" customFormat="false" ht="15" hidden="false" customHeight="false" outlineLevel="0" collapsed="false">
      <c r="A20" s="19"/>
      <c r="B20" s="19"/>
      <c r="C20" s="19"/>
      <c r="D20" s="19"/>
      <c r="E20" s="19"/>
      <c r="F20" s="19"/>
      <c r="G20" s="19"/>
      <c r="H20" s="20"/>
      <c r="I20" s="19"/>
      <c r="J20" s="19"/>
      <c r="K20" s="19"/>
      <c r="L20" s="21"/>
      <c r="M20" s="21"/>
      <c r="N20" s="21"/>
      <c r="O20" s="21"/>
      <c r="P20" s="21"/>
      <c r="Q20" s="21"/>
      <c r="R20" s="21"/>
      <c r="S20" s="19"/>
      <c r="T20" s="19"/>
      <c r="U20" s="19"/>
      <c r="V20" s="19"/>
      <c r="W20" s="19"/>
      <c r="X20" s="19"/>
      <c r="Y20" s="19"/>
      <c r="Z20" s="19"/>
      <c r="AA20" s="19"/>
      <c r="AB20" s="19" t="str">
        <f aca="false">IF(NOT(ISNUMBER(Q20)),"",IF(E20="organizer_case",IF(ISNUMBER(P20),ROUND((Q20-P20)*86400,0),""),IF(J20="ADVANCE",IF(ISNUMBER(O20),ROUND((Q20-MAX(O20,N20))*86400,0),""),IF(ISNUMBER(O20),ROUND((Q20-O20)*86400,0),""))))</f>
        <v/>
      </c>
      <c r="AC20" s="19" t="str">
        <f aca="false">IF(AND(ISNUMBER(Q20),ISNUMBER(R20)),ROUND(R20-Q20,2),"")</f>
        <v/>
      </c>
      <c r="AD20" s="19" t="str">
        <f aca="false">IF(AND(ISNUMBER(AB20),ISNUMBER(Z20)),AB20-Z20,"")</f>
        <v/>
      </c>
      <c r="AE20" s="19"/>
      <c r="AF20" s="19"/>
      <c r="AG20" s="22"/>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4"/>
      <c r="BH20" s="23"/>
      <c r="BI20" s="23"/>
      <c r="BJ20" s="19"/>
      <c r="BK20" s="19"/>
      <c r="BL20" s="19"/>
      <c r="BM20" s="19"/>
      <c r="BN20" s="23"/>
      <c r="BO20" s="23"/>
      <c r="BP20" s="19"/>
      <c r="BQ20" s="19"/>
      <c r="BR20" s="19"/>
      <c r="BS20" s="23"/>
    </row>
    <row r="21" customFormat="false" ht="15" hidden="false" customHeight="false" outlineLevel="0" collapsed="false">
      <c r="A21" s="19"/>
      <c r="B21" s="19"/>
      <c r="C21" s="19"/>
      <c r="D21" s="19"/>
      <c r="E21" s="19"/>
      <c r="F21" s="19"/>
      <c r="G21" s="19"/>
      <c r="H21" s="20"/>
      <c r="I21" s="19"/>
      <c r="J21" s="19"/>
      <c r="K21" s="19"/>
      <c r="L21" s="21"/>
      <c r="M21" s="21"/>
      <c r="N21" s="21"/>
      <c r="O21" s="21"/>
      <c r="P21" s="21"/>
      <c r="Q21" s="21"/>
      <c r="R21" s="21"/>
      <c r="S21" s="19"/>
      <c r="T21" s="19"/>
      <c r="U21" s="19"/>
      <c r="V21" s="19"/>
      <c r="W21" s="19"/>
      <c r="X21" s="19"/>
      <c r="Y21" s="19"/>
      <c r="Z21" s="19"/>
      <c r="AA21" s="19"/>
      <c r="AB21" s="19" t="str">
        <f aca="false">IF(NOT(ISNUMBER(Q21)),"",IF(E21="organizer_case",IF(ISNUMBER(P21),ROUND((Q21-P21)*86400,0),""),IF(J21="ADVANCE",IF(ISNUMBER(O21),ROUND((Q21-MAX(O21,N21))*86400,0),""),IF(ISNUMBER(O21),ROUND((Q21-O21)*86400,0),""))))</f>
        <v/>
      </c>
      <c r="AC21" s="19" t="str">
        <f aca="false">IF(AND(ISNUMBER(Q21),ISNUMBER(R21)),ROUND(R21-Q21,2),"")</f>
        <v/>
      </c>
      <c r="AD21" s="19" t="str">
        <f aca="false">IF(AND(ISNUMBER(AB21),ISNUMBER(Z21)),AB21-Z21,"")</f>
        <v/>
      </c>
      <c r="AE21" s="19"/>
      <c r="AF21" s="19"/>
      <c r="AG21" s="22"/>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4"/>
      <c r="BH21" s="23"/>
      <c r="BI21" s="23"/>
      <c r="BJ21" s="19"/>
      <c r="BK21" s="19"/>
      <c r="BL21" s="19"/>
      <c r="BM21" s="19"/>
      <c r="BN21" s="23"/>
      <c r="BO21" s="23"/>
      <c r="BP21" s="19"/>
      <c r="BQ21" s="19"/>
      <c r="BR21" s="19"/>
      <c r="BS21" s="23"/>
    </row>
    <row r="22" customFormat="false" ht="15" hidden="false" customHeight="false" outlineLevel="0" collapsed="false">
      <c r="A22" s="19"/>
      <c r="B22" s="19"/>
      <c r="C22" s="19"/>
      <c r="D22" s="19"/>
      <c r="E22" s="19"/>
      <c r="F22" s="19"/>
      <c r="G22" s="19"/>
      <c r="H22" s="20"/>
      <c r="I22" s="19"/>
      <c r="J22" s="19"/>
      <c r="K22" s="19"/>
      <c r="L22" s="21"/>
      <c r="M22" s="21"/>
      <c r="N22" s="21"/>
      <c r="O22" s="21"/>
      <c r="P22" s="21"/>
      <c r="Q22" s="21"/>
      <c r="R22" s="21"/>
      <c r="S22" s="19"/>
      <c r="T22" s="19"/>
      <c r="U22" s="19"/>
      <c r="V22" s="19"/>
      <c r="W22" s="19"/>
      <c r="X22" s="19"/>
      <c r="Y22" s="19"/>
      <c r="Z22" s="19"/>
      <c r="AA22" s="19"/>
      <c r="AB22" s="19" t="str">
        <f aca="false">IF(NOT(ISNUMBER(Q22)),"",IF(E22="organizer_case",IF(ISNUMBER(P22),ROUND((Q22-P22)*86400,0),""),IF(J22="ADVANCE",IF(ISNUMBER(O22),ROUND((Q22-MAX(O22,N22))*86400,0),""),IF(ISNUMBER(O22),ROUND((Q22-O22)*86400,0),""))))</f>
        <v/>
      </c>
      <c r="AC22" s="19" t="str">
        <f aca="false">IF(AND(ISNUMBER(Q22),ISNUMBER(R22)),ROUND(R22-Q22,2),"")</f>
        <v/>
      </c>
      <c r="AD22" s="19" t="str">
        <f aca="false">IF(AND(ISNUMBER(AB22),ISNUMBER(Z22)),AB22-Z22,"")</f>
        <v/>
      </c>
      <c r="AE22" s="19"/>
      <c r="AF22" s="19"/>
      <c r="AG22" s="22"/>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4"/>
      <c r="BH22" s="23"/>
      <c r="BI22" s="23"/>
      <c r="BJ22" s="19"/>
      <c r="BK22" s="19"/>
      <c r="BL22" s="19"/>
      <c r="BM22" s="19"/>
      <c r="BN22" s="23"/>
      <c r="BO22" s="23"/>
      <c r="BP22" s="19"/>
      <c r="BQ22" s="19"/>
      <c r="BR22" s="19"/>
      <c r="BS22" s="23"/>
    </row>
    <row r="23" customFormat="false" ht="15" hidden="false" customHeight="false" outlineLevel="0" collapsed="false">
      <c r="A23" s="19"/>
      <c r="B23" s="19"/>
      <c r="C23" s="19"/>
      <c r="D23" s="19"/>
      <c r="E23" s="19"/>
      <c r="F23" s="19"/>
      <c r="G23" s="19"/>
      <c r="H23" s="20"/>
      <c r="I23" s="19"/>
      <c r="J23" s="19"/>
      <c r="K23" s="19"/>
      <c r="L23" s="21"/>
      <c r="M23" s="21"/>
      <c r="N23" s="21"/>
      <c r="O23" s="21"/>
      <c r="P23" s="21"/>
      <c r="Q23" s="21"/>
      <c r="R23" s="21"/>
      <c r="S23" s="19"/>
      <c r="T23" s="19"/>
      <c r="U23" s="19"/>
      <c r="V23" s="19"/>
      <c r="W23" s="19"/>
      <c r="X23" s="19"/>
      <c r="Y23" s="19"/>
      <c r="Z23" s="19"/>
      <c r="AA23" s="19"/>
      <c r="AB23" s="19" t="str">
        <f aca="false">IF(NOT(ISNUMBER(Q23)),"",IF(E23="organizer_case",IF(ISNUMBER(P23),ROUND((Q23-P23)*86400,0),""),IF(J23="ADVANCE",IF(ISNUMBER(O23),ROUND((Q23-MAX(O23,N23))*86400,0),""),IF(ISNUMBER(O23),ROUND((Q23-O23)*86400,0),""))))</f>
        <v/>
      </c>
      <c r="AC23" s="19" t="str">
        <f aca="false">IF(AND(ISNUMBER(Q23),ISNUMBER(R23)),ROUND(R23-Q23,2),"")</f>
        <v/>
      </c>
      <c r="AD23" s="19" t="str">
        <f aca="false">IF(AND(ISNUMBER(AB23),ISNUMBER(Z23)),AB23-Z23,"")</f>
        <v/>
      </c>
      <c r="AE23" s="19"/>
      <c r="AF23" s="19"/>
      <c r="AG23" s="22"/>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4"/>
      <c r="BH23" s="23"/>
      <c r="BI23" s="23"/>
      <c r="BJ23" s="19"/>
      <c r="BK23" s="19"/>
      <c r="BL23" s="19"/>
      <c r="BM23" s="19"/>
      <c r="BN23" s="23"/>
      <c r="BO23" s="23"/>
      <c r="BP23" s="19"/>
      <c r="BQ23" s="19"/>
      <c r="BR23" s="19"/>
      <c r="BS23" s="23"/>
    </row>
    <row r="24" customFormat="false" ht="15" hidden="false" customHeight="false" outlineLevel="0" collapsed="false">
      <c r="A24" s="19"/>
      <c r="B24" s="19"/>
      <c r="C24" s="19"/>
      <c r="D24" s="19"/>
      <c r="E24" s="19"/>
      <c r="F24" s="19"/>
      <c r="G24" s="19"/>
      <c r="H24" s="20"/>
      <c r="I24" s="19"/>
      <c r="J24" s="19"/>
      <c r="K24" s="19"/>
      <c r="L24" s="21"/>
      <c r="M24" s="21"/>
      <c r="N24" s="21"/>
      <c r="O24" s="21"/>
      <c r="P24" s="21"/>
      <c r="Q24" s="21"/>
      <c r="R24" s="21"/>
      <c r="S24" s="19"/>
      <c r="T24" s="19"/>
      <c r="U24" s="19"/>
      <c r="V24" s="19"/>
      <c r="W24" s="19"/>
      <c r="X24" s="19"/>
      <c r="Y24" s="19"/>
      <c r="Z24" s="19"/>
      <c r="AA24" s="19"/>
      <c r="AB24" s="19" t="str">
        <f aca="false">IF(NOT(ISNUMBER(Q24)),"",IF(E24="organizer_case",IF(ISNUMBER(P24),ROUND((Q24-P24)*86400,0),""),IF(J24="ADVANCE",IF(ISNUMBER(O24),ROUND((Q24-MAX(O24,N24))*86400,0),""),IF(ISNUMBER(O24),ROUND((Q24-O24)*86400,0),""))))</f>
        <v/>
      </c>
      <c r="AC24" s="19" t="str">
        <f aca="false">IF(AND(ISNUMBER(Q24),ISNUMBER(R24)),ROUND(R24-Q24,2),"")</f>
        <v/>
      </c>
      <c r="AD24" s="19" t="str">
        <f aca="false">IF(AND(ISNUMBER(AB24),ISNUMBER(Z24)),AB24-Z24,"")</f>
        <v/>
      </c>
      <c r="AE24" s="19"/>
      <c r="AF24" s="19"/>
      <c r="AG24" s="22"/>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4"/>
      <c r="BH24" s="23"/>
      <c r="BI24" s="23"/>
      <c r="BJ24" s="19"/>
      <c r="BK24" s="19"/>
      <c r="BL24" s="19"/>
      <c r="BM24" s="19"/>
      <c r="BN24" s="23"/>
      <c r="BO24" s="23"/>
      <c r="BP24" s="19"/>
      <c r="BQ24" s="19"/>
      <c r="BR24" s="19"/>
      <c r="BS24" s="23"/>
    </row>
    <row r="25" customFormat="false" ht="15" hidden="false" customHeight="false" outlineLevel="0" collapsed="false">
      <c r="A25" s="19"/>
      <c r="B25" s="19"/>
      <c r="C25" s="19"/>
      <c r="D25" s="19"/>
      <c r="E25" s="19"/>
      <c r="F25" s="19"/>
      <c r="G25" s="19"/>
      <c r="H25" s="20"/>
      <c r="I25" s="19"/>
      <c r="J25" s="19"/>
      <c r="K25" s="19"/>
      <c r="L25" s="21"/>
      <c r="M25" s="21"/>
      <c r="N25" s="21"/>
      <c r="O25" s="21"/>
      <c r="P25" s="21"/>
      <c r="Q25" s="21"/>
      <c r="R25" s="21"/>
      <c r="S25" s="19"/>
      <c r="T25" s="19"/>
      <c r="U25" s="19"/>
      <c r="V25" s="19"/>
      <c r="W25" s="19"/>
      <c r="X25" s="19"/>
      <c r="Y25" s="19"/>
      <c r="Z25" s="19"/>
      <c r="AA25" s="19"/>
      <c r="AB25" s="19" t="str">
        <f aca="false">IF(NOT(ISNUMBER(Q25)),"",IF(E25="organizer_case",IF(ISNUMBER(P25),ROUND((Q25-P25)*86400,0),""),IF(J25="ADVANCE",IF(ISNUMBER(O25),ROUND((Q25-MAX(O25,N25))*86400,0),""),IF(ISNUMBER(O25),ROUND((Q25-O25)*86400,0),""))))</f>
        <v/>
      </c>
      <c r="AC25" s="19" t="str">
        <f aca="false">IF(AND(ISNUMBER(Q25),ISNUMBER(R25)),ROUND(R25-Q25,2),"")</f>
        <v/>
      </c>
      <c r="AD25" s="19" t="str">
        <f aca="false">IF(AND(ISNUMBER(AB25),ISNUMBER(Z25)),AB25-Z25,"")</f>
        <v/>
      </c>
      <c r="AE25" s="19"/>
      <c r="AF25" s="19"/>
      <c r="AG25" s="22"/>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4"/>
      <c r="BH25" s="23"/>
      <c r="BI25" s="23"/>
      <c r="BJ25" s="19"/>
      <c r="BK25" s="19"/>
      <c r="BL25" s="19"/>
      <c r="BM25" s="19"/>
      <c r="BN25" s="23"/>
      <c r="BO25" s="23"/>
      <c r="BP25" s="19"/>
      <c r="BQ25" s="19"/>
      <c r="BR25" s="19"/>
      <c r="BS25" s="23"/>
    </row>
    <row r="26" customFormat="false" ht="15" hidden="false" customHeight="false" outlineLevel="0" collapsed="false">
      <c r="A26" s="19"/>
      <c r="B26" s="19"/>
      <c r="C26" s="19"/>
      <c r="D26" s="19"/>
      <c r="E26" s="19"/>
      <c r="F26" s="19"/>
      <c r="G26" s="19"/>
      <c r="H26" s="20"/>
      <c r="I26" s="19"/>
      <c r="J26" s="19"/>
      <c r="K26" s="19"/>
      <c r="L26" s="21"/>
      <c r="M26" s="21"/>
      <c r="N26" s="21"/>
      <c r="O26" s="21"/>
      <c r="P26" s="21"/>
      <c r="Q26" s="21"/>
      <c r="R26" s="21"/>
      <c r="S26" s="19"/>
      <c r="T26" s="19"/>
      <c r="U26" s="19"/>
      <c r="V26" s="19"/>
      <c r="W26" s="19"/>
      <c r="X26" s="19"/>
      <c r="Y26" s="19"/>
      <c r="Z26" s="19"/>
      <c r="AA26" s="19"/>
      <c r="AB26" s="19" t="str">
        <f aca="false">IF(NOT(ISNUMBER(Q26)),"",IF(E26="organizer_case",IF(ISNUMBER(P26),ROUND((Q26-P26)*86400,0),""),IF(J26="ADVANCE",IF(ISNUMBER(O26),ROUND((Q26-MAX(O26,N26))*86400,0),""),IF(ISNUMBER(O26),ROUND((Q26-O26)*86400,0),""))))</f>
        <v/>
      </c>
      <c r="AC26" s="19" t="str">
        <f aca="false">IF(AND(ISNUMBER(Q26),ISNUMBER(R26)),ROUND(R26-Q26,2),"")</f>
        <v/>
      </c>
      <c r="AD26" s="19" t="str">
        <f aca="false">IF(AND(ISNUMBER(AB26),ISNUMBER(Z26)),AB26-Z26,"")</f>
        <v/>
      </c>
      <c r="AE26" s="19"/>
      <c r="AF26" s="19"/>
      <c r="AG26" s="22"/>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4"/>
      <c r="BH26" s="23"/>
      <c r="BI26" s="23"/>
      <c r="BJ26" s="19"/>
      <c r="BK26" s="19"/>
      <c r="BL26" s="19"/>
      <c r="BM26" s="19"/>
      <c r="BN26" s="23"/>
      <c r="BO26" s="23"/>
      <c r="BP26" s="19"/>
      <c r="BQ26" s="19"/>
      <c r="BR26" s="19"/>
      <c r="BS26" s="23"/>
    </row>
    <row r="27" customFormat="false" ht="15" hidden="false" customHeight="false" outlineLevel="0" collapsed="false">
      <c r="A27" s="19"/>
      <c r="B27" s="19"/>
      <c r="C27" s="19"/>
      <c r="D27" s="19"/>
      <c r="E27" s="19"/>
      <c r="F27" s="19"/>
      <c r="G27" s="19"/>
      <c r="H27" s="20"/>
      <c r="I27" s="19"/>
      <c r="J27" s="19"/>
      <c r="K27" s="19"/>
      <c r="L27" s="21"/>
      <c r="M27" s="21"/>
      <c r="N27" s="21"/>
      <c r="O27" s="21"/>
      <c r="P27" s="21"/>
      <c r="Q27" s="21"/>
      <c r="R27" s="21"/>
      <c r="S27" s="19"/>
      <c r="T27" s="19"/>
      <c r="U27" s="19"/>
      <c r="V27" s="19"/>
      <c r="W27" s="19"/>
      <c r="X27" s="19"/>
      <c r="Y27" s="19"/>
      <c r="Z27" s="19"/>
      <c r="AA27" s="19"/>
      <c r="AB27" s="19" t="str">
        <f aca="false">IF(NOT(ISNUMBER(Q27)),"",IF(E27="organizer_case",IF(ISNUMBER(P27),ROUND((Q27-P27)*86400,0),""),IF(J27="ADVANCE",IF(ISNUMBER(O27),ROUND((Q27-MAX(O27,N27))*86400,0),""),IF(ISNUMBER(O27),ROUND((Q27-O27)*86400,0),""))))</f>
        <v/>
      </c>
      <c r="AC27" s="19" t="str">
        <f aca="false">IF(AND(ISNUMBER(Q27),ISNUMBER(R27)),ROUND(R27-Q27,2),"")</f>
        <v/>
      </c>
      <c r="AD27" s="19" t="str">
        <f aca="false">IF(AND(ISNUMBER(AB27),ISNUMBER(Z27)),AB27-Z27,"")</f>
        <v/>
      </c>
      <c r="AE27" s="19"/>
      <c r="AF27" s="19"/>
      <c r="AG27" s="22"/>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4"/>
      <c r="BH27" s="23"/>
      <c r="BI27" s="23"/>
      <c r="BJ27" s="19"/>
      <c r="BK27" s="19"/>
      <c r="BL27" s="19"/>
      <c r="BM27" s="19"/>
      <c r="BN27" s="23"/>
      <c r="BO27" s="23"/>
      <c r="BP27" s="19"/>
      <c r="BQ27" s="19"/>
      <c r="BR27" s="19"/>
      <c r="BS27" s="23"/>
    </row>
    <row r="28" customFormat="false" ht="15" hidden="false" customHeight="false" outlineLevel="0" collapsed="false">
      <c r="A28" s="19"/>
      <c r="B28" s="19"/>
      <c r="C28" s="19"/>
      <c r="D28" s="19"/>
      <c r="E28" s="19"/>
      <c r="F28" s="19"/>
      <c r="G28" s="19"/>
      <c r="H28" s="20"/>
      <c r="I28" s="19"/>
      <c r="J28" s="19"/>
      <c r="K28" s="19"/>
      <c r="L28" s="21"/>
      <c r="M28" s="21"/>
      <c r="N28" s="21"/>
      <c r="O28" s="21"/>
      <c r="P28" s="21"/>
      <c r="Q28" s="21"/>
      <c r="R28" s="21"/>
      <c r="S28" s="19"/>
      <c r="T28" s="19"/>
      <c r="U28" s="19"/>
      <c r="V28" s="19"/>
      <c r="W28" s="19"/>
      <c r="X28" s="19"/>
      <c r="Y28" s="19"/>
      <c r="Z28" s="19"/>
      <c r="AA28" s="19"/>
      <c r="AB28" s="19" t="str">
        <f aca="false">IF(NOT(ISNUMBER(Q28)),"",IF(E28="organizer_case",IF(ISNUMBER(P28),ROUND((Q28-P28)*86400,0),""),IF(J28="ADVANCE",IF(ISNUMBER(O28),ROUND((Q28-MAX(O28,N28))*86400,0),""),IF(ISNUMBER(O28),ROUND((Q28-O28)*86400,0),""))))</f>
        <v/>
      </c>
      <c r="AC28" s="19" t="str">
        <f aca="false">IF(AND(ISNUMBER(Q28),ISNUMBER(R28)),ROUND(R28-Q28,2),"")</f>
        <v/>
      </c>
      <c r="AD28" s="19" t="str">
        <f aca="false">IF(AND(ISNUMBER(AB28),ISNUMBER(Z28)),AB28-Z28,"")</f>
        <v/>
      </c>
      <c r="AE28" s="19"/>
      <c r="AF28" s="19"/>
      <c r="AG28" s="22"/>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4"/>
      <c r="BH28" s="23"/>
      <c r="BI28" s="23"/>
      <c r="BJ28" s="19"/>
      <c r="BK28" s="19"/>
      <c r="BL28" s="19"/>
      <c r="BM28" s="19"/>
      <c r="BN28" s="23"/>
      <c r="BO28" s="23"/>
      <c r="BP28" s="19"/>
      <c r="BQ28" s="19"/>
      <c r="BR28" s="19"/>
      <c r="BS28" s="23"/>
    </row>
    <row r="29" customFormat="false" ht="15" hidden="false" customHeight="false" outlineLevel="0" collapsed="false">
      <c r="A29" s="19"/>
      <c r="B29" s="19"/>
      <c r="C29" s="19"/>
      <c r="D29" s="19"/>
      <c r="E29" s="19"/>
      <c r="F29" s="19"/>
      <c r="G29" s="19"/>
      <c r="H29" s="20"/>
      <c r="I29" s="19"/>
      <c r="J29" s="19"/>
      <c r="K29" s="19"/>
      <c r="L29" s="21"/>
      <c r="M29" s="21"/>
      <c r="N29" s="21"/>
      <c r="O29" s="21"/>
      <c r="P29" s="21"/>
      <c r="Q29" s="21"/>
      <c r="R29" s="21"/>
      <c r="S29" s="19"/>
      <c r="T29" s="19"/>
      <c r="U29" s="19"/>
      <c r="V29" s="19"/>
      <c r="W29" s="19"/>
      <c r="X29" s="19"/>
      <c r="Y29" s="19"/>
      <c r="Z29" s="19"/>
      <c r="AA29" s="19"/>
      <c r="AB29" s="19" t="str">
        <f aca="false">IF(NOT(ISNUMBER(Q29)),"",IF(E29="organizer_case",IF(ISNUMBER(P29),ROUND((Q29-P29)*86400,0),""),IF(J29="ADVANCE",IF(ISNUMBER(O29),ROUND((Q29-MAX(O29,N29))*86400,0),""),IF(ISNUMBER(O29),ROUND((Q29-O29)*86400,0),""))))</f>
        <v/>
      </c>
      <c r="AC29" s="19" t="str">
        <f aca="false">IF(AND(ISNUMBER(Q29),ISNUMBER(R29)),ROUND(R29-Q29,2),"")</f>
        <v/>
      </c>
      <c r="AD29" s="19" t="str">
        <f aca="false">IF(AND(ISNUMBER(AB29),ISNUMBER(Z29)),AB29-Z29,"")</f>
        <v/>
      </c>
      <c r="AE29" s="19"/>
      <c r="AF29" s="19"/>
      <c r="AG29" s="22"/>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4"/>
      <c r="BH29" s="23"/>
      <c r="BI29" s="23"/>
      <c r="BJ29" s="19"/>
      <c r="BK29" s="19"/>
      <c r="BL29" s="19"/>
      <c r="BM29" s="19"/>
      <c r="BN29" s="23"/>
      <c r="BO29" s="23"/>
      <c r="BP29" s="19"/>
      <c r="BQ29" s="19"/>
      <c r="BR29" s="19"/>
      <c r="BS29" s="23"/>
    </row>
    <row r="30" customFormat="false" ht="15" hidden="false" customHeight="false" outlineLevel="0" collapsed="false">
      <c r="A30" s="19"/>
      <c r="B30" s="19"/>
      <c r="C30" s="19"/>
      <c r="D30" s="19"/>
      <c r="E30" s="19"/>
      <c r="F30" s="19"/>
      <c r="G30" s="19"/>
      <c r="H30" s="20"/>
      <c r="I30" s="19"/>
      <c r="J30" s="19"/>
      <c r="K30" s="19"/>
      <c r="L30" s="21"/>
      <c r="M30" s="21"/>
      <c r="N30" s="21"/>
      <c r="O30" s="21"/>
      <c r="P30" s="21"/>
      <c r="Q30" s="21"/>
      <c r="R30" s="21"/>
      <c r="S30" s="19"/>
      <c r="T30" s="19"/>
      <c r="U30" s="19"/>
      <c r="V30" s="19"/>
      <c r="W30" s="19"/>
      <c r="X30" s="19"/>
      <c r="Y30" s="19"/>
      <c r="Z30" s="19"/>
      <c r="AA30" s="19"/>
      <c r="AB30" s="19" t="str">
        <f aca="false">IF(NOT(ISNUMBER(Q30)),"",IF(E30="organizer_case",IF(ISNUMBER(P30),ROUND((Q30-P30)*86400,0),""),IF(J30="ADVANCE",IF(ISNUMBER(O30),ROUND((Q30-MAX(O30,N30))*86400,0),""),IF(ISNUMBER(O30),ROUND((Q30-O30)*86400,0),""))))</f>
        <v/>
      </c>
      <c r="AC30" s="19" t="str">
        <f aca="false">IF(AND(ISNUMBER(Q30),ISNUMBER(R30)),ROUND(R30-Q30,2),"")</f>
        <v/>
      </c>
      <c r="AD30" s="19" t="str">
        <f aca="false">IF(AND(ISNUMBER(AB30),ISNUMBER(Z30)),AB30-Z30,"")</f>
        <v/>
      </c>
      <c r="AE30" s="19"/>
      <c r="AF30" s="19"/>
      <c r="AG30" s="22"/>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4"/>
      <c r="BH30" s="23"/>
      <c r="BI30" s="23"/>
      <c r="BJ30" s="19"/>
      <c r="BK30" s="19"/>
      <c r="BL30" s="19"/>
      <c r="BM30" s="19"/>
      <c r="BN30" s="23"/>
      <c r="BO30" s="23"/>
      <c r="BP30" s="19"/>
      <c r="BQ30" s="19"/>
      <c r="BR30" s="19"/>
      <c r="BS30" s="23"/>
    </row>
    <row r="31" customFormat="false" ht="15" hidden="false" customHeight="false" outlineLevel="0" collapsed="false">
      <c r="A31" s="19"/>
      <c r="B31" s="19"/>
      <c r="C31" s="19"/>
      <c r="D31" s="19"/>
      <c r="E31" s="19"/>
      <c r="F31" s="19"/>
      <c r="G31" s="19"/>
      <c r="H31" s="20"/>
      <c r="I31" s="19"/>
      <c r="J31" s="19"/>
      <c r="K31" s="19"/>
      <c r="L31" s="21"/>
      <c r="M31" s="21"/>
      <c r="N31" s="21"/>
      <c r="O31" s="21"/>
      <c r="P31" s="21"/>
      <c r="Q31" s="21"/>
      <c r="R31" s="21"/>
      <c r="S31" s="19"/>
      <c r="T31" s="19"/>
      <c r="U31" s="19"/>
      <c r="V31" s="19"/>
      <c r="W31" s="19"/>
      <c r="X31" s="19"/>
      <c r="Y31" s="19"/>
      <c r="Z31" s="19"/>
      <c r="AA31" s="19"/>
      <c r="AB31" s="19" t="str">
        <f aca="false">IF(NOT(ISNUMBER(Q31)),"",IF(E31="organizer_case",IF(ISNUMBER(P31),ROUND((Q31-P31)*86400,0),""),IF(J31="ADVANCE",IF(ISNUMBER(O31),ROUND((Q31-MAX(O31,N31))*86400,0),""),IF(ISNUMBER(O31),ROUND((Q31-O31)*86400,0),""))))</f>
        <v/>
      </c>
      <c r="AC31" s="19" t="str">
        <f aca="false">IF(AND(ISNUMBER(Q31),ISNUMBER(R31)),ROUND(R31-Q31,2),"")</f>
        <v/>
      </c>
      <c r="AD31" s="19" t="str">
        <f aca="false">IF(AND(ISNUMBER(AB31),ISNUMBER(Z31)),AB31-Z31,"")</f>
        <v/>
      </c>
      <c r="AE31" s="19"/>
      <c r="AF31" s="19"/>
      <c r="AG31" s="22"/>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4"/>
      <c r="BH31" s="23"/>
      <c r="BI31" s="23"/>
      <c r="BJ31" s="19"/>
      <c r="BK31" s="19"/>
      <c r="BL31" s="19"/>
      <c r="BM31" s="19"/>
      <c r="BN31" s="23"/>
      <c r="BO31" s="23"/>
      <c r="BP31" s="19"/>
      <c r="BQ31" s="19"/>
      <c r="BR31" s="19"/>
      <c r="BS31" s="23"/>
    </row>
    <row r="32" customFormat="false" ht="15" hidden="false" customHeight="false" outlineLevel="0" collapsed="false">
      <c r="A32" s="19"/>
      <c r="B32" s="19"/>
      <c r="C32" s="19"/>
      <c r="D32" s="19"/>
      <c r="E32" s="19"/>
      <c r="F32" s="19"/>
      <c r="G32" s="19"/>
      <c r="H32" s="20"/>
      <c r="I32" s="19"/>
      <c r="J32" s="19"/>
      <c r="K32" s="19"/>
      <c r="L32" s="21"/>
      <c r="M32" s="21"/>
      <c r="N32" s="21"/>
      <c r="O32" s="21"/>
      <c r="P32" s="21"/>
      <c r="Q32" s="21"/>
      <c r="R32" s="21"/>
      <c r="S32" s="19"/>
      <c r="T32" s="19"/>
      <c r="U32" s="19"/>
      <c r="V32" s="19"/>
      <c r="W32" s="19"/>
      <c r="X32" s="19"/>
      <c r="Y32" s="19"/>
      <c r="Z32" s="19"/>
      <c r="AA32" s="19"/>
      <c r="AB32" s="19" t="str">
        <f aca="false">IF(NOT(ISNUMBER(Q32)),"",IF(E32="organizer_case",IF(ISNUMBER(P32),ROUND((Q32-P32)*86400,0),""),IF(J32="ADVANCE",IF(ISNUMBER(O32),ROUND((Q32-MAX(O32,N32))*86400,0),""),IF(ISNUMBER(O32),ROUND((Q32-O32)*86400,0),""))))</f>
        <v/>
      </c>
      <c r="AC32" s="19" t="str">
        <f aca="false">IF(AND(ISNUMBER(Q32),ISNUMBER(R32)),ROUND(R32-Q32,2),"")</f>
        <v/>
      </c>
      <c r="AD32" s="19" t="str">
        <f aca="false">IF(AND(ISNUMBER(AB32),ISNUMBER(Z32)),AB32-Z32,"")</f>
        <v/>
      </c>
      <c r="AE32" s="19"/>
      <c r="AF32" s="19"/>
      <c r="AG32" s="22"/>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4"/>
      <c r="BH32" s="23"/>
      <c r="BI32" s="23"/>
      <c r="BJ32" s="19"/>
      <c r="BK32" s="19"/>
      <c r="BL32" s="19"/>
      <c r="BM32" s="19"/>
      <c r="BN32" s="23"/>
      <c r="BO32" s="23"/>
      <c r="BP32" s="19"/>
      <c r="BQ32" s="19"/>
      <c r="BR32" s="19"/>
      <c r="BS32" s="23"/>
    </row>
    <row r="33" customFormat="false" ht="15" hidden="false" customHeight="false" outlineLevel="0" collapsed="false">
      <c r="A33" s="19"/>
      <c r="B33" s="19"/>
      <c r="C33" s="19"/>
      <c r="D33" s="19"/>
      <c r="E33" s="19"/>
      <c r="F33" s="19"/>
      <c r="G33" s="19"/>
      <c r="H33" s="20"/>
      <c r="I33" s="19"/>
      <c r="J33" s="19"/>
      <c r="K33" s="19"/>
      <c r="L33" s="21"/>
      <c r="M33" s="21"/>
      <c r="N33" s="21"/>
      <c r="O33" s="21"/>
      <c r="P33" s="21"/>
      <c r="Q33" s="21"/>
      <c r="R33" s="21"/>
      <c r="S33" s="19"/>
      <c r="T33" s="19"/>
      <c r="U33" s="19"/>
      <c r="V33" s="19"/>
      <c r="W33" s="19"/>
      <c r="X33" s="19"/>
      <c r="Y33" s="19"/>
      <c r="Z33" s="19"/>
      <c r="AA33" s="19"/>
      <c r="AB33" s="19" t="str">
        <f aca="false">IF(NOT(ISNUMBER(Q33)),"",IF(E33="organizer_case",IF(ISNUMBER(P33),ROUND((Q33-P33)*86400,0),""),IF(J33="ADVANCE",IF(ISNUMBER(O33),ROUND((Q33-MAX(O33,N33))*86400,0),""),IF(ISNUMBER(O33),ROUND((Q33-O33)*86400,0),""))))</f>
        <v/>
      </c>
      <c r="AC33" s="19" t="str">
        <f aca="false">IF(AND(ISNUMBER(Q33),ISNUMBER(R33)),ROUND(R33-Q33,2),"")</f>
        <v/>
      </c>
      <c r="AD33" s="19" t="str">
        <f aca="false">IF(AND(ISNUMBER(AB33),ISNUMBER(Z33)),AB33-Z33,"")</f>
        <v/>
      </c>
      <c r="AE33" s="19"/>
      <c r="AF33" s="19"/>
      <c r="AG33" s="22"/>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4"/>
      <c r="BH33" s="23"/>
      <c r="BI33" s="23"/>
      <c r="BJ33" s="19"/>
      <c r="BK33" s="19"/>
      <c r="BL33" s="19"/>
      <c r="BM33" s="19"/>
      <c r="BN33" s="23"/>
      <c r="BO33" s="23"/>
      <c r="BP33" s="19"/>
      <c r="BQ33" s="19"/>
      <c r="BR33" s="19"/>
      <c r="BS33" s="23"/>
    </row>
    <row r="34" customFormat="false" ht="15" hidden="false" customHeight="false" outlineLevel="0" collapsed="false">
      <c r="A34" s="19"/>
      <c r="B34" s="19"/>
      <c r="C34" s="19"/>
      <c r="D34" s="19"/>
      <c r="E34" s="19"/>
      <c r="F34" s="19"/>
      <c r="G34" s="19"/>
      <c r="H34" s="20"/>
      <c r="I34" s="19"/>
      <c r="J34" s="19"/>
      <c r="K34" s="19"/>
      <c r="L34" s="21"/>
      <c r="M34" s="21"/>
      <c r="N34" s="21"/>
      <c r="O34" s="21"/>
      <c r="P34" s="21"/>
      <c r="Q34" s="21"/>
      <c r="R34" s="21"/>
      <c r="S34" s="19"/>
      <c r="T34" s="19"/>
      <c r="U34" s="19"/>
      <c r="V34" s="19"/>
      <c r="W34" s="19"/>
      <c r="X34" s="19"/>
      <c r="Y34" s="19"/>
      <c r="Z34" s="19"/>
      <c r="AA34" s="19"/>
      <c r="AB34" s="19" t="str">
        <f aca="false">IF(NOT(ISNUMBER(Q34)),"",IF(E34="organizer_case",IF(ISNUMBER(P34),ROUND((Q34-P34)*86400,0),""),IF(J34="ADVANCE",IF(ISNUMBER(O34),ROUND((Q34-MAX(O34,N34))*86400,0),""),IF(ISNUMBER(O34),ROUND((Q34-O34)*86400,0),""))))</f>
        <v/>
      </c>
      <c r="AC34" s="19" t="str">
        <f aca="false">IF(AND(ISNUMBER(Q34),ISNUMBER(R34)),ROUND(R34-Q34,2),"")</f>
        <v/>
      </c>
      <c r="AD34" s="19" t="str">
        <f aca="false">IF(AND(ISNUMBER(AB34),ISNUMBER(Z34)),AB34-Z34,"")</f>
        <v/>
      </c>
      <c r="AE34" s="19"/>
      <c r="AF34" s="19"/>
      <c r="AG34" s="22"/>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4"/>
      <c r="BH34" s="23"/>
      <c r="BI34" s="23"/>
      <c r="BJ34" s="19"/>
      <c r="BK34" s="19"/>
      <c r="BL34" s="19"/>
      <c r="BM34" s="19"/>
      <c r="BN34" s="23"/>
      <c r="BO34" s="23"/>
      <c r="BP34" s="19"/>
      <c r="BQ34" s="19"/>
      <c r="BR34" s="19"/>
      <c r="BS34" s="23"/>
    </row>
    <row r="35" customFormat="false" ht="15" hidden="false" customHeight="false" outlineLevel="0" collapsed="false">
      <c r="A35" s="19"/>
      <c r="B35" s="19"/>
      <c r="C35" s="19"/>
      <c r="D35" s="19"/>
      <c r="E35" s="19"/>
      <c r="F35" s="19"/>
      <c r="G35" s="19"/>
      <c r="H35" s="20"/>
      <c r="I35" s="19"/>
      <c r="J35" s="19"/>
      <c r="K35" s="19"/>
      <c r="L35" s="21"/>
      <c r="M35" s="21"/>
      <c r="N35" s="21"/>
      <c r="O35" s="21"/>
      <c r="P35" s="21"/>
      <c r="Q35" s="21"/>
      <c r="R35" s="21"/>
      <c r="S35" s="19"/>
      <c r="T35" s="19"/>
      <c r="U35" s="19"/>
      <c r="V35" s="19"/>
      <c r="W35" s="19"/>
      <c r="X35" s="19"/>
      <c r="Y35" s="19"/>
      <c r="Z35" s="19"/>
      <c r="AA35" s="19"/>
      <c r="AB35" s="19" t="str">
        <f aca="false">IF(NOT(ISNUMBER(Q35)),"",IF(E35="organizer_case",IF(ISNUMBER(P35),ROUND((Q35-P35)*86400,0),""),IF(J35="ADVANCE",IF(ISNUMBER(O35),ROUND((Q35-MAX(O35,N35))*86400,0),""),IF(ISNUMBER(O35),ROUND((Q35-O35)*86400,0),""))))</f>
        <v/>
      </c>
      <c r="AC35" s="19" t="str">
        <f aca="false">IF(AND(ISNUMBER(Q35),ISNUMBER(R35)),ROUND(R35-Q35,2),"")</f>
        <v/>
      </c>
      <c r="AD35" s="19" t="str">
        <f aca="false">IF(AND(ISNUMBER(AB35),ISNUMBER(Z35)),AB35-Z35,"")</f>
        <v/>
      </c>
      <c r="AE35" s="19"/>
      <c r="AF35" s="19"/>
      <c r="AG35" s="22"/>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4"/>
      <c r="BH35" s="23"/>
      <c r="BI35" s="23"/>
      <c r="BJ35" s="19"/>
      <c r="BK35" s="19"/>
      <c r="BL35" s="19"/>
      <c r="BM35" s="19"/>
      <c r="BN35" s="23"/>
      <c r="BO35" s="23"/>
      <c r="BP35" s="19"/>
      <c r="BQ35" s="19"/>
      <c r="BR35" s="19"/>
      <c r="BS35" s="23"/>
    </row>
    <row r="36" customFormat="false" ht="15" hidden="false" customHeight="false" outlineLevel="0" collapsed="false">
      <c r="A36" s="19"/>
      <c r="B36" s="19"/>
      <c r="C36" s="19"/>
      <c r="D36" s="19"/>
      <c r="E36" s="19"/>
      <c r="F36" s="19"/>
      <c r="G36" s="19"/>
      <c r="H36" s="20"/>
      <c r="I36" s="19"/>
      <c r="J36" s="19"/>
      <c r="K36" s="19"/>
      <c r="L36" s="21"/>
      <c r="M36" s="21"/>
      <c r="N36" s="21"/>
      <c r="O36" s="21"/>
      <c r="P36" s="21"/>
      <c r="Q36" s="21"/>
      <c r="R36" s="21"/>
      <c r="S36" s="19"/>
      <c r="T36" s="19"/>
      <c r="U36" s="19"/>
      <c r="V36" s="19"/>
      <c r="W36" s="19"/>
      <c r="X36" s="19"/>
      <c r="Y36" s="19"/>
      <c r="Z36" s="19"/>
      <c r="AA36" s="19"/>
      <c r="AB36" s="19" t="str">
        <f aca="false">IF(NOT(ISNUMBER(Q36)),"",IF(E36="organizer_case",IF(ISNUMBER(P36),ROUND((Q36-P36)*86400,0),""),IF(J36="ADVANCE",IF(ISNUMBER(O36),ROUND((Q36-MAX(O36,N36))*86400,0),""),IF(ISNUMBER(O36),ROUND((Q36-O36)*86400,0),""))))</f>
        <v/>
      </c>
      <c r="AC36" s="19" t="str">
        <f aca="false">IF(AND(ISNUMBER(Q36),ISNUMBER(R36)),ROUND(R36-Q36,2),"")</f>
        <v/>
      </c>
      <c r="AD36" s="19" t="str">
        <f aca="false">IF(AND(ISNUMBER(AB36),ISNUMBER(Z36)),AB36-Z36,"")</f>
        <v/>
      </c>
      <c r="AE36" s="19"/>
      <c r="AF36" s="19"/>
      <c r="AG36" s="22"/>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4"/>
      <c r="BH36" s="23"/>
      <c r="BI36" s="23"/>
      <c r="BJ36" s="19"/>
      <c r="BK36" s="19"/>
      <c r="BL36" s="19"/>
      <c r="BM36" s="19"/>
      <c r="BN36" s="23"/>
      <c r="BO36" s="23"/>
      <c r="BP36" s="19"/>
      <c r="BQ36" s="19"/>
      <c r="BR36" s="19"/>
      <c r="BS36" s="23"/>
    </row>
    <row r="37" customFormat="false" ht="15" hidden="false" customHeight="false" outlineLevel="0" collapsed="false">
      <c r="A37" s="19"/>
      <c r="B37" s="19"/>
      <c r="C37" s="19"/>
      <c r="D37" s="19"/>
      <c r="E37" s="19"/>
      <c r="F37" s="19"/>
      <c r="G37" s="19"/>
      <c r="H37" s="20"/>
      <c r="I37" s="19"/>
      <c r="J37" s="19"/>
      <c r="K37" s="19"/>
      <c r="L37" s="21"/>
      <c r="M37" s="21"/>
      <c r="N37" s="21"/>
      <c r="O37" s="21"/>
      <c r="P37" s="21"/>
      <c r="Q37" s="21"/>
      <c r="R37" s="21"/>
      <c r="S37" s="19"/>
      <c r="T37" s="19"/>
      <c r="U37" s="19"/>
      <c r="V37" s="19"/>
      <c r="W37" s="19"/>
      <c r="X37" s="19"/>
      <c r="Y37" s="19"/>
      <c r="Z37" s="19"/>
      <c r="AA37" s="19"/>
      <c r="AB37" s="19" t="str">
        <f aca="false">IF(NOT(ISNUMBER(Q37)),"",IF(E37="organizer_case",IF(ISNUMBER(P37),ROUND((Q37-P37)*86400,0),""),IF(J37="ADVANCE",IF(ISNUMBER(O37),ROUND((Q37-MAX(O37,N37))*86400,0),""),IF(ISNUMBER(O37),ROUND((Q37-O37)*86400,0),""))))</f>
        <v/>
      </c>
      <c r="AC37" s="19" t="str">
        <f aca="false">IF(AND(ISNUMBER(Q37),ISNUMBER(R37)),ROUND(R37-Q37,2),"")</f>
        <v/>
      </c>
      <c r="AD37" s="19" t="str">
        <f aca="false">IF(AND(ISNUMBER(AB37),ISNUMBER(Z37)),AB37-Z37,"")</f>
        <v/>
      </c>
      <c r="AE37" s="19"/>
      <c r="AF37" s="19"/>
      <c r="AG37" s="22"/>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4"/>
      <c r="BH37" s="23"/>
      <c r="BI37" s="23"/>
      <c r="BJ37" s="19"/>
      <c r="BK37" s="19"/>
      <c r="BL37" s="19"/>
      <c r="BM37" s="19"/>
      <c r="BN37" s="23"/>
      <c r="BO37" s="23"/>
      <c r="BP37" s="19"/>
      <c r="BQ37" s="19"/>
      <c r="BR37" s="19"/>
      <c r="BS37" s="23"/>
    </row>
    <row r="38" customFormat="false" ht="15" hidden="false" customHeight="false" outlineLevel="0" collapsed="false">
      <c r="A38" s="19"/>
      <c r="B38" s="19"/>
      <c r="C38" s="19"/>
      <c r="D38" s="19"/>
      <c r="E38" s="19"/>
      <c r="F38" s="19"/>
      <c r="G38" s="19"/>
      <c r="H38" s="20"/>
      <c r="I38" s="19"/>
      <c r="J38" s="19"/>
      <c r="K38" s="19"/>
      <c r="L38" s="21"/>
      <c r="M38" s="21"/>
      <c r="N38" s="21"/>
      <c r="O38" s="21"/>
      <c r="P38" s="21"/>
      <c r="Q38" s="21"/>
      <c r="R38" s="21"/>
      <c r="S38" s="19"/>
      <c r="T38" s="19"/>
      <c r="U38" s="19"/>
      <c r="V38" s="19"/>
      <c r="W38" s="19"/>
      <c r="X38" s="19"/>
      <c r="Y38" s="19"/>
      <c r="Z38" s="19"/>
      <c r="AA38" s="19"/>
      <c r="AB38" s="19" t="str">
        <f aca="false">IF(NOT(ISNUMBER(Q38)),"",IF(E38="organizer_case",IF(ISNUMBER(P38),ROUND((Q38-P38)*86400,0),""),IF(J38="ADVANCE",IF(ISNUMBER(O38),ROUND((Q38-MAX(O38,N38))*86400,0),""),IF(ISNUMBER(O38),ROUND((Q38-O38)*86400,0),""))))</f>
        <v/>
      </c>
      <c r="AC38" s="19" t="str">
        <f aca="false">IF(AND(ISNUMBER(Q38),ISNUMBER(R38)),ROUND(R38-Q38,2),"")</f>
        <v/>
      </c>
      <c r="AD38" s="19" t="str">
        <f aca="false">IF(AND(ISNUMBER(AB38),ISNUMBER(Z38)),AB38-Z38,"")</f>
        <v/>
      </c>
      <c r="AE38" s="19"/>
      <c r="AF38" s="19"/>
      <c r="AG38" s="22"/>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4"/>
      <c r="BH38" s="23"/>
      <c r="BI38" s="23"/>
      <c r="BJ38" s="19"/>
      <c r="BK38" s="19"/>
      <c r="BL38" s="19"/>
      <c r="BM38" s="19"/>
      <c r="BN38" s="23"/>
      <c r="BO38" s="23"/>
      <c r="BP38" s="19"/>
      <c r="BQ38" s="19"/>
      <c r="BR38" s="19"/>
      <c r="BS38" s="23"/>
    </row>
    <row r="39" customFormat="false" ht="15" hidden="false" customHeight="false" outlineLevel="0" collapsed="false">
      <c r="A39" s="19"/>
      <c r="B39" s="19"/>
      <c r="C39" s="19"/>
      <c r="D39" s="19"/>
      <c r="E39" s="19"/>
      <c r="F39" s="19"/>
      <c r="G39" s="19"/>
      <c r="H39" s="20"/>
      <c r="I39" s="19"/>
      <c r="J39" s="19"/>
      <c r="K39" s="19"/>
      <c r="L39" s="21"/>
      <c r="M39" s="21"/>
      <c r="N39" s="21"/>
      <c r="O39" s="21"/>
      <c r="P39" s="21"/>
      <c r="Q39" s="21"/>
      <c r="R39" s="21"/>
      <c r="S39" s="19"/>
      <c r="T39" s="19"/>
      <c r="U39" s="19"/>
      <c r="V39" s="19"/>
      <c r="W39" s="19"/>
      <c r="X39" s="19"/>
      <c r="Y39" s="19"/>
      <c r="Z39" s="19"/>
      <c r="AA39" s="19"/>
      <c r="AB39" s="19" t="str">
        <f aca="false">IF(NOT(ISNUMBER(Q39)),"",IF(E39="organizer_case",IF(ISNUMBER(P39),ROUND((Q39-P39)*86400,0),""),IF(J39="ADVANCE",IF(ISNUMBER(O39),ROUND((Q39-MAX(O39,N39))*86400,0),""),IF(ISNUMBER(O39),ROUND((Q39-O39)*86400,0),""))))</f>
        <v/>
      </c>
      <c r="AC39" s="19" t="str">
        <f aca="false">IF(AND(ISNUMBER(Q39),ISNUMBER(R39)),ROUND(R39-Q39,2),"")</f>
        <v/>
      </c>
      <c r="AD39" s="19" t="str">
        <f aca="false">IF(AND(ISNUMBER(AB39),ISNUMBER(Z39)),AB39-Z39,"")</f>
        <v/>
      </c>
      <c r="AE39" s="19"/>
      <c r="AF39" s="19"/>
      <c r="AG39" s="22"/>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4"/>
      <c r="BH39" s="23"/>
      <c r="BI39" s="23"/>
      <c r="BJ39" s="19"/>
      <c r="BK39" s="19"/>
      <c r="BL39" s="19"/>
      <c r="BM39" s="19"/>
      <c r="BN39" s="23"/>
      <c r="BO39" s="23"/>
      <c r="BP39" s="19"/>
      <c r="BQ39" s="19"/>
      <c r="BR39" s="19"/>
      <c r="BS39" s="23"/>
    </row>
    <row r="40" customFormat="false" ht="15" hidden="false" customHeight="false" outlineLevel="0" collapsed="false">
      <c r="A40" s="19"/>
      <c r="B40" s="19"/>
      <c r="C40" s="19"/>
      <c r="D40" s="19"/>
      <c r="E40" s="19"/>
      <c r="F40" s="19"/>
      <c r="G40" s="19"/>
      <c r="H40" s="20"/>
      <c r="I40" s="19"/>
      <c r="J40" s="19"/>
      <c r="K40" s="19"/>
      <c r="L40" s="21"/>
      <c r="M40" s="21"/>
      <c r="N40" s="21"/>
      <c r="O40" s="21"/>
      <c r="P40" s="21"/>
      <c r="Q40" s="21"/>
      <c r="R40" s="21"/>
      <c r="S40" s="19"/>
      <c r="T40" s="19"/>
      <c r="U40" s="19"/>
      <c r="V40" s="19"/>
      <c r="W40" s="19"/>
      <c r="X40" s="19"/>
      <c r="Y40" s="19"/>
      <c r="Z40" s="19"/>
      <c r="AA40" s="19"/>
      <c r="AB40" s="19" t="str">
        <f aca="false">IF(NOT(ISNUMBER(Q40)),"",IF(E40="organizer_case",IF(ISNUMBER(P40),ROUND((Q40-P40)*86400,0),""),IF(J40="ADVANCE",IF(ISNUMBER(O40),ROUND((Q40-MAX(O40,N40))*86400,0),""),IF(ISNUMBER(O40),ROUND((Q40-O40)*86400,0),""))))</f>
        <v/>
      </c>
      <c r="AC40" s="19" t="str">
        <f aca="false">IF(AND(ISNUMBER(Q40),ISNUMBER(R40)),ROUND(R40-Q40,2),"")</f>
        <v/>
      </c>
      <c r="AD40" s="19" t="str">
        <f aca="false">IF(AND(ISNUMBER(AB40),ISNUMBER(Z40)),AB40-Z40,"")</f>
        <v/>
      </c>
      <c r="AE40" s="19"/>
      <c r="AF40" s="19"/>
      <c r="AG40" s="22"/>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4"/>
      <c r="BH40" s="23"/>
      <c r="BI40" s="23"/>
      <c r="BJ40" s="19"/>
      <c r="BK40" s="19"/>
      <c r="BL40" s="19"/>
      <c r="BM40" s="19"/>
      <c r="BN40" s="23"/>
      <c r="BO40" s="23"/>
      <c r="BP40" s="19"/>
      <c r="BQ40" s="19"/>
      <c r="BR40" s="19"/>
      <c r="BS40" s="23"/>
    </row>
    <row r="41" customFormat="false" ht="15" hidden="false" customHeight="false" outlineLevel="0" collapsed="false">
      <c r="A41" s="19"/>
      <c r="B41" s="19"/>
      <c r="C41" s="19"/>
      <c r="D41" s="19"/>
      <c r="E41" s="19"/>
      <c r="F41" s="19"/>
      <c r="G41" s="19"/>
      <c r="H41" s="20"/>
      <c r="I41" s="19"/>
      <c r="J41" s="19"/>
      <c r="K41" s="19"/>
      <c r="L41" s="21"/>
      <c r="M41" s="21"/>
      <c r="N41" s="21"/>
      <c r="O41" s="21"/>
      <c r="P41" s="21"/>
      <c r="Q41" s="21"/>
      <c r="R41" s="21"/>
      <c r="S41" s="19"/>
      <c r="T41" s="19"/>
      <c r="U41" s="19"/>
      <c r="V41" s="19"/>
      <c r="W41" s="19"/>
      <c r="X41" s="19"/>
      <c r="Y41" s="19"/>
      <c r="Z41" s="19"/>
      <c r="AA41" s="19"/>
      <c r="AB41" s="19" t="str">
        <f aca="false">IF(NOT(ISNUMBER(Q41)),"",IF(E41="organizer_case",IF(ISNUMBER(P41),ROUND((Q41-P41)*86400,0),""),IF(J41="ADVANCE",IF(ISNUMBER(O41),ROUND((Q41-MAX(O41,N41))*86400,0),""),IF(ISNUMBER(O41),ROUND((Q41-O41)*86400,0),""))))</f>
        <v/>
      </c>
      <c r="AC41" s="19" t="str">
        <f aca="false">IF(AND(ISNUMBER(Q41),ISNUMBER(R41)),ROUND(R41-Q41,2),"")</f>
        <v/>
      </c>
      <c r="AD41" s="19" t="str">
        <f aca="false">IF(AND(ISNUMBER(AB41),ISNUMBER(Z41)),AB41-Z41,"")</f>
        <v/>
      </c>
      <c r="AE41" s="19"/>
      <c r="AF41" s="19"/>
      <c r="AG41" s="22"/>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4"/>
      <c r="BH41" s="23"/>
      <c r="BI41" s="23"/>
      <c r="BJ41" s="19"/>
      <c r="BK41" s="19"/>
      <c r="BL41" s="19"/>
      <c r="BM41" s="19"/>
      <c r="BN41" s="23"/>
      <c r="BO41" s="23"/>
      <c r="BP41" s="19"/>
      <c r="BQ41" s="19"/>
      <c r="BR41" s="19"/>
      <c r="BS41" s="23"/>
    </row>
    <row r="42" customFormat="false" ht="15" hidden="false" customHeight="false" outlineLevel="0" collapsed="false">
      <c r="A42" s="19"/>
      <c r="B42" s="19"/>
      <c r="C42" s="19"/>
      <c r="D42" s="19"/>
      <c r="E42" s="19"/>
      <c r="F42" s="19"/>
      <c r="G42" s="19"/>
      <c r="H42" s="20"/>
      <c r="I42" s="19"/>
      <c r="J42" s="19"/>
      <c r="K42" s="19"/>
      <c r="L42" s="21"/>
      <c r="M42" s="21"/>
      <c r="N42" s="21"/>
      <c r="O42" s="21"/>
      <c r="P42" s="21"/>
      <c r="Q42" s="21"/>
      <c r="R42" s="21"/>
      <c r="S42" s="19"/>
      <c r="T42" s="19"/>
      <c r="U42" s="19"/>
      <c r="V42" s="19"/>
      <c r="W42" s="19"/>
      <c r="X42" s="19"/>
      <c r="Y42" s="19"/>
      <c r="Z42" s="19"/>
      <c r="AA42" s="19"/>
      <c r="AB42" s="19" t="str">
        <f aca="false">IF(NOT(ISNUMBER(Q42)),"",IF(E42="organizer_case",IF(ISNUMBER(P42),ROUND((Q42-P42)*86400,0),""),IF(J42="ADVANCE",IF(ISNUMBER(O42),ROUND((Q42-MAX(O42,N42))*86400,0),""),IF(ISNUMBER(O42),ROUND((Q42-O42)*86400,0),""))))</f>
        <v/>
      </c>
      <c r="AC42" s="19" t="str">
        <f aca="false">IF(AND(ISNUMBER(Q42),ISNUMBER(R42)),ROUND(R42-Q42,2),"")</f>
        <v/>
      </c>
      <c r="AD42" s="19" t="str">
        <f aca="false">IF(AND(ISNUMBER(AB42),ISNUMBER(Z42)),AB42-Z42,"")</f>
        <v/>
      </c>
      <c r="AE42" s="19"/>
      <c r="AF42" s="19"/>
      <c r="AG42" s="22"/>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4"/>
      <c r="BH42" s="23"/>
      <c r="BI42" s="23"/>
      <c r="BJ42" s="19"/>
      <c r="BK42" s="19"/>
      <c r="BL42" s="19"/>
      <c r="BM42" s="19"/>
      <c r="BN42" s="23"/>
      <c r="BO42" s="23"/>
      <c r="BP42" s="19"/>
      <c r="BQ42" s="19"/>
      <c r="BR42" s="19"/>
      <c r="BS42" s="23"/>
    </row>
    <row r="43" customFormat="false" ht="15" hidden="false" customHeight="false" outlineLevel="0" collapsed="false">
      <c r="A43" s="19"/>
      <c r="B43" s="19"/>
      <c r="C43" s="19"/>
      <c r="D43" s="19"/>
      <c r="E43" s="19"/>
      <c r="F43" s="19"/>
      <c r="G43" s="19"/>
      <c r="H43" s="20"/>
      <c r="I43" s="19"/>
      <c r="J43" s="19"/>
      <c r="K43" s="19"/>
      <c r="L43" s="21"/>
      <c r="M43" s="21"/>
      <c r="N43" s="21"/>
      <c r="O43" s="21"/>
      <c r="P43" s="21"/>
      <c r="Q43" s="21"/>
      <c r="R43" s="21"/>
      <c r="S43" s="19"/>
      <c r="T43" s="19"/>
      <c r="U43" s="19"/>
      <c r="V43" s="19"/>
      <c r="W43" s="19"/>
      <c r="X43" s="19"/>
      <c r="Y43" s="19"/>
      <c r="Z43" s="19"/>
      <c r="AA43" s="19"/>
      <c r="AB43" s="19" t="str">
        <f aca="false">IF(NOT(ISNUMBER(Q43)),"",IF(E43="organizer_case",IF(ISNUMBER(P43),ROUND((Q43-P43)*86400,0),""),IF(J43="ADVANCE",IF(ISNUMBER(O43),ROUND((Q43-MAX(O43,N43))*86400,0),""),IF(ISNUMBER(O43),ROUND((Q43-O43)*86400,0),""))))</f>
        <v/>
      </c>
      <c r="AC43" s="19" t="str">
        <f aca="false">IF(AND(ISNUMBER(Q43),ISNUMBER(R43)),ROUND(R43-Q43,2),"")</f>
        <v/>
      </c>
      <c r="AD43" s="19" t="str">
        <f aca="false">IF(AND(ISNUMBER(AB43),ISNUMBER(Z43)),AB43-Z43,"")</f>
        <v/>
      </c>
      <c r="AE43" s="19"/>
      <c r="AF43" s="19"/>
      <c r="AG43" s="22"/>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4"/>
      <c r="BH43" s="23"/>
      <c r="BI43" s="23"/>
      <c r="BJ43" s="19"/>
      <c r="BK43" s="19"/>
      <c r="BL43" s="19"/>
      <c r="BM43" s="19"/>
      <c r="BN43" s="23"/>
      <c r="BO43" s="23"/>
      <c r="BP43" s="19"/>
      <c r="BQ43" s="19"/>
      <c r="BR43" s="19"/>
      <c r="BS43" s="23"/>
    </row>
    <row r="44" customFormat="false" ht="15" hidden="false" customHeight="false" outlineLevel="0" collapsed="false">
      <c r="A44" s="19"/>
      <c r="B44" s="19"/>
      <c r="C44" s="19"/>
      <c r="D44" s="19"/>
      <c r="E44" s="19"/>
      <c r="F44" s="19"/>
      <c r="G44" s="19"/>
      <c r="H44" s="20"/>
      <c r="I44" s="19"/>
      <c r="J44" s="19"/>
      <c r="K44" s="19"/>
      <c r="L44" s="21"/>
      <c r="M44" s="21"/>
      <c r="N44" s="21"/>
      <c r="O44" s="21"/>
      <c r="P44" s="21"/>
      <c r="Q44" s="21"/>
      <c r="R44" s="21"/>
      <c r="S44" s="19"/>
      <c r="T44" s="19"/>
      <c r="U44" s="19"/>
      <c r="V44" s="19"/>
      <c r="W44" s="19"/>
      <c r="X44" s="19"/>
      <c r="Y44" s="19"/>
      <c r="Z44" s="19"/>
      <c r="AA44" s="19"/>
      <c r="AB44" s="19" t="str">
        <f aca="false">IF(NOT(ISNUMBER(Q44)),"",IF(E44="organizer_case",IF(ISNUMBER(P44),ROUND((Q44-P44)*86400,0),""),IF(J44="ADVANCE",IF(ISNUMBER(O44),ROUND((Q44-MAX(O44,N44))*86400,0),""),IF(ISNUMBER(O44),ROUND((Q44-O44)*86400,0),""))))</f>
        <v/>
      </c>
      <c r="AC44" s="19" t="str">
        <f aca="false">IF(AND(ISNUMBER(Q44),ISNUMBER(R44)),ROUND(R44-Q44,2),"")</f>
        <v/>
      </c>
      <c r="AD44" s="19" t="str">
        <f aca="false">IF(AND(ISNUMBER(AB44),ISNUMBER(Z44)),AB44-Z44,"")</f>
        <v/>
      </c>
      <c r="AE44" s="19"/>
      <c r="AF44" s="19"/>
      <c r="AG44" s="22"/>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4"/>
      <c r="BH44" s="23"/>
      <c r="BI44" s="23"/>
      <c r="BJ44" s="19"/>
      <c r="BK44" s="19"/>
      <c r="BL44" s="19"/>
      <c r="BM44" s="19"/>
      <c r="BN44" s="23"/>
      <c r="BO44" s="23"/>
      <c r="BP44" s="19"/>
      <c r="BQ44" s="19"/>
      <c r="BR44" s="19"/>
      <c r="BS44" s="23"/>
    </row>
    <row r="45" customFormat="false" ht="15" hidden="false" customHeight="false" outlineLevel="0" collapsed="false">
      <c r="A45" s="19"/>
      <c r="B45" s="19"/>
      <c r="C45" s="19"/>
      <c r="D45" s="19"/>
      <c r="E45" s="19"/>
      <c r="F45" s="19"/>
      <c r="G45" s="19"/>
      <c r="H45" s="20"/>
      <c r="I45" s="19"/>
      <c r="J45" s="19"/>
      <c r="K45" s="19"/>
      <c r="L45" s="21"/>
      <c r="M45" s="21"/>
      <c r="N45" s="21"/>
      <c r="O45" s="21"/>
      <c r="P45" s="21"/>
      <c r="Q45" s="21"/>
      <c r="R45" s="21"/>
      <c r="S45" s="19"/>
      <c r="T45" s="19"/>
      <c r="U45" s="19"/>
      <c r="V45" s="19"/>
      <c r="W45" s="19"/>
      <c r="X45" s="19"/>
      <c r="Y45" s="19"/>
      <c r="Z45" s="19"/>
      <c r="AA45" s="19"/>
      <c r="AB45" s="19" t="str">
        <f aca="false">IF(NOT(ISNUMBER(Q45)),"",IF(E45="organizer_case",IF(ISNUMBER(P45),ROUND((Q45-P45)*86400,0),""),IF(J45="ADVANCE",IF(ISNUMBER(O45),ROUND((Q45-MAX(O45,N45))*86400,0),""),IF(ISNUMBER(O45),ROUND((Q45-O45)*86400,0),""))))</f>
        <v/>
      </c>
      <c r="AC45" s="19" t="str">
        <f aca="false">IF(AND(ISNUMBER(Q45),ISNUMBER(R45)),ROUND(R45-Q45,2),"")</f>
        <v/>
      </c>
      <c r="AD45" s="19" t="str">
        <f aca="false">IF(AND(ISNUMBER(AB45),ISNUMBER(Z45)),AB45-Z45,"")</f>
        <v/>
      </c>
      <c r="AE45" s="19"/>
      <c r="AF45" s="19"/>
      <c r="AG45" s="22"/>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4"/>
      <c r="BH45" s="23"/>
      <c r="BI45" s="23"/>
      <c r="BJ45" s="19"/>
      <c r="BK45" s="19"/>
      <c r="BL45" s="19"/>
      <c r="BM45" s="19"/>
      <c r="BN45" s="23"/>
      <c r="BO45" s="23"/>
      <c r="BP45" s="19"/>
      <c r="BQ45" s="19"/>
      <c r="BR45" s="19"/>
      <c r="BS45" s="23"/>
    </row>
    <row r="46" customFormat="false" ht="15" hidden="false" customHeight="false" outlineLevel="0" collapsed="false">
      <c r="A46" s="19"/>
      <c r="B46" s="19"/>
      <c r="C46" s="19"/>
      <c r="D46" s="19"/>
      <c r="E46" s="19"/>
      <c r="F46" s="19"/>
      <c r="G46" s="19"/>
      <c r="H46" s="20"/>
      <c r="I46" s="19"/>
      <c r="J46" s="19"/>
      <c r="K46" s="19"/>
      <c r="L46" s="21"/>
      <c r="M46" s="21"/>
      <c r="N46" s="21"/>
      <c r="O46" s="21"/>
      <c r="P46" s="21"/>
      <c r="Q46" s="21"/>
      <c r="R46" s="21"/>
      <c r="S46" s="19"/>
      <c r="T46" s="19"/>
      <c r="U46" s="19"/>
      <c r="V46" s="19"/>
      <c r="W46" s="19"/>
      <c r="X46" s="19"/>
      <c r="Y46" s="19"/>
      <c r="Z46" s="19"/>
      <c r="AA46" s="19"/>
      <c r="AB46" s="19" t="str">
        <f aca="false">IF(NOT(ISNUMBER(Q46)),"",IF(E46="organizer_case",IF(ISNUMBER(P46),ROUND((Q46-P46)*86400,0),""),IF(J46="ADVANCE",IF(ISNUMBER(O46),ROUND((Q46-MAX(O46,N46))*86400,0),""),IF(ISNUMBER(O46),ROUND((Q46-O46)*86400,0),""))))</f>
        <v/>
      </c>
      <c r="AC46" s="19" t="str">
        <f aca="false">IF(AND(ISNUMBER(Q46),ISNUMBER(R46)),ROUND(R46-Q46,2),"")</f>
        <v/>
      </c>
      <c r="AD46" s="19" t="str">
        <f aca="false">IF(AND(ISNUMBER(AB46),ISNUMBER(Z46)),AB46-Z46,"")</f>
        <v/>
      </c>
      <c r="AE46" s="19"/>
      <c r="AF46" s="19"/>
      <c r="AG46" s="22"/>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4"/>
      <c r="BH46" s="23"/>
      <c r="BI46" s="23"/>
      <c r="BJ46" s="19"/>
      <c r="BK46" s="19"/>
      <c r="BL46" s="19"/>
      <c r="BM46" s="19"/>
      <c r="BN46" s="23"/>
      <c r="BO46" s="23"/>
      <c r="BP46" s="19"/>
      <c r="BQ46" s="19"/>
      <c r="BR46" s="19"/>
      <c r="BS46" s="23"/>
    </row>
    <row r="47" customFormat="false" ht="15" hidden="false" customHeight="false" outlineLevel="0" collapsed="false">
      <c r="A47" s="19"/>
      <c r="B47" s="19"/>
      <c r="C47" s="19"/>
      <c r="D47" s="19"/>
      <c r="E47" s="19"/>
      <c r="F47" s="19"/>
      <c r="G47" s="19"/>
      <c r="H47" s="20"/>
      <c r="I47" s="19"/>
      <c r="J47" s="19"/>
      <c r="K47" s="19"/>
      <c r="L47" s="21"/>
      <c r="M47" s="21"/>
      <c r="N47" s="21"/>
      <c r="O47" s="21"/>
      <c r="P47" s="21"/>
      <c r="Q47" s="21"/>
      <c r="R47" s="21"/>
      <c r="S47" s="19"/>
      <c r="T47" s="19"/>
      <c r="U47" s="19"/>
      <c r="V47" s="19"/>
      <c r="W47" s="19"/>
      <c r="X47" s="19"/>
      <c r="Y47" s="19"/>
      <c r="Z47" s="19"/>
      <c r="AA47" s="19"/>
      <c r="AB47" s="19" t="str">
        <f aca="false">IF(NOT(ISNUMBER(Q47)),"",IF(E47="organizer_case",IF(ISNUMBER(P47),ROUND((Q47-P47)*86400,0),""),IF(J47="ADVANCE",IF(ISNUMBER(O47),ROUND((Q47-MAX(O47,N47))*86400,0),""),IF(ISNUMBER(O47),ROUND((Q47-O47)*86400,0),""))))</f>
        <v/>
      </c>
      <c r="AC47" s="19" t="str">
        <f aca="false">IF(AND(ISNUMBER(Q47),ISNUMBER(R47)),ROUND(R47-Q47,2),"")</f>
        <v/>
      </c>
      <c r="AD47" s="19" t="str">
        <f aca="false">IF(AND(ISNUMBER(AB47),ISNUMBER(Z47)),AB47-Z47,"")</f>
        <v/>
      </c>
      <c r="AE47" s="19"/>
      <c r="AF47" s="19"/>
      <c r="AG47" s="22"/>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4"/>
      <c r="BH47" s="23"/>
      <c r="BI47" s="23"/>
      <c r="BJ47" s="19"/>
      <c r="BK47" s="19"/>
      <c r="BL47" s="19"/>
      <c r="BM47" s="19"/>
      <c r="BN47" s="23"/>
      <c r="BO47" s="23"/>
      <c r="BP47" s="19"/>
      <c r="BQ47" s="19"/>
      <c r="BR47" s="19"/>
      <c r="BS47" s="23"/>
    </row>
    <row r="48" customFormat="false" ht="15" hidden="false" customHeight="false" outlineLevel="0" collapsed="false">
      <c r="A48" s="19"/>
      <c r="B48" s="19"/>
      <c r="C48" s="19"/>
      <c r="D48" s="19"/>
      <c r="E48" s="19"/>
      <c r="F48" s="19"/>
      <c r="G48" s="19"/>
      <c r="H48" s="20"/>
      <c r="I48" s="19"/>
      <c r="J48" s="19"/>
      <c r="K48" s="19"/>
      <c r="L48" s="21"/>
      <c r="M48" s="21"/>
      <c r="N48" s="21"/>
      <c r="O48" s="21"/>
      <c r="P48" s="21"/>
      <c r="Q48" s="21"/>
      <c r="R48" s="21"/>
      <c r="S48" s="19"/>
      <c r="T48" s="19"/>
      <c r="U48" s="19"/>
      <c r="V48" s="19"/>
      <c r="W48" s="19"/>
      <c r="X48" s="19"/>
      <c r="Y48" s="19"/>
      <c r="Z48" s="19"/>
      <c r="AA48" s="19"/>
      <c r="AB48" s="19" t="str">
        <f aca="false">IF(NOT(ISNUMBER(Q48)),"",IF(E48="organizer_case",IF(ISNUMBER(P48),ROUND((Q48-P48)*86400,0),""),IF(J48="ADVANCE",IF(ISNUMBER(O48),ROUND((Q48-MAX(O48,N48))*86400,0),""),IF(ISNUMBER(O48),ROUND((Q48-O48)*86400,0),""))))</f>
        <v/>
      </c>
      <c r="AC48" s="19" t="str">
        <f aca="false">IF(AND(ISNUMBER(Q48),ISNUMBER(R48)),ROUND(R48-Q48,2),"")</f>
        <v/>
      </c>
      <c r="AD48" s="19" t="str">
        <f aca="false">IF(AND(ISNUMBER(AB48),ISNUMBER(Z48)),AB48-Z48,"")</f>
        <v/>
      </c>
      <c r="AE48" s="19"/>
      <c r="AF48" s="19"/>
      <c r="AG48" s="22"/>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4"/>
      <c r="BH48" s="23"/>
      <c r="BI48" s="23"/>
      <c r="BJ48" s="19"/>
      <c r="BK48" s="19"/>
      <c r="BL48" s="19"/>
      <c r="BM48" s="19"/>
      <c r="BN48" s="23"/>
      <c r="BO48" s="23"/>
      <c r="BP48" s="19"/>
      <c r="BQ48" s="19"/>
      <c r="BR48" s="19"/>
      <c r="BS48" s="23"/>
    </row>
    <row r="49" customFormat="false" ht="15" hidden="false" customHeight="false" outlineLevel="0" collapsed="false">
      <c r="A49" s="19"/>
      <c r="B49" s="19"/>
      <c r="C49" s="19"/>
      <c r="D49" s="19"/>
      <c r="E49" s="19"/>
      <c r="F49" s="19"/>
      <c r="G49" s="19"/>
      <c r="H49" s="20"/>
      <c r="I49" s="19"/>
      <c r="J49" s="19"/>
      <c r="K49" s="19"/>
      <c r="L49" s="21"/>
      <c r="M49" s="21"/>
      <c r="N49" s="21"/>
      <c r="O49" s="21"/>
      <c r="P49" s="21"/>
      <c r="Q49" s="21"/>
      <c r="R49" s="21"/>
      <c r="S49" s="19"/>
      <c r="T49" s="19"/>
      <c r="U49" s="19"/>
      <c r="V49" s="19"/>
      <c r="W49" s="19"/>
      <c r="X49" s="19"/>
      <c r="Y49" s="19"/>
      <c r="Z49" s="19"/>
      <c r="AA49" s="19"/>
      <c r="AB49" s="19" t="str">
        <f aca="false">IF(NOT(ISNUMBER(Q49)),"",IF(E49="organizer_case",IF(ISNUMBER(P49),ROUND((Q49-P49)*86400,0),""),IF(J49="ADVANCE",IF(ISNUMBER(O49),ROUND((Q49-MAX(O49,N49))*86400,0),""),IF(ISNUMBER(O49),ROUND((Q49-O49)*86400,0),""))))</f>
        <v/>
      </c>
      <c r="AC49" s="19" t="str">
        <f aca="false">IF(AND(ISNUMBER(Q49),ISNUMBER(R49)),ROUND(R49-Q49,2),"")</f>
        <v/>
      </c>
      <c r="AD49" s="19" t="str">
        <f aca="false">IF(AND(ISNUMBER(AB49),ISNUMBER(Z49)),AB49-Z49,"")</f>
        <v/>
      </c>
      <c r="AE49" s="19"/>
      <c r="AF49" s="19"/>
      <c r="AG49" s="22"/>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4"/>
      <c r="BH49" s="23"/>
      <c r="BI49" s="23"/>
      <c r="BJ49" s="19"/>
      <c r="BK49" s="19"/>
      <c r="BL49" s="19"/>
      <c r="BM49" s="19"/>
      <c r="BN49" s="23"/>
      <c r="BO49" s="23"/>
      <c r="BP49" s="19"/>
      <c r="BQ49" s="19"/>
      <c r="BR49" s="19"/>
      <c r="BS49" s="23"/>
    </row>
    <row r="50" customFormat="false" ht="15" hidden="false" customHeight="false" outlineLevel="0" collapsed="false">
      <c r="A50" s="19"/>
      <c r="B50" s="19"/>
      <c r="C50" s="19"/>
      <c r="D50" s="19"/>
      <c r="E50" s="19"/>
      <c r="F50" s="19"/>
      <c r="G50" s="19"/>
      <c r="H50" s="20"/>
      <c r="I50" s="19"/>
      <c r="J50" s="19"/>
      <c r="K50" s="19"/>
      <c r="L50" s="21"/>
      <c r="M50" s="21"/>
      <c r="N50" s="21"/>
      <c r="O50" s="21"/>
      <c r="P50" s="21"/>
      <c r="Q50" s="21"/>
      <c r="R50" s="21"/>
      <c r="S50" s="19"/>
      <c r="T50" s="19"/>
      <c r="U50" s="19"/>
      <c r="V50" s="19"/>
      <c r="W50" s="19"/>
      <c r="X50" s="19"/>
      <c r="Y50" s="19"/>
      <c r="Z50" s="19"/>
      <c r="AA50" s="19"/>
      <c r="AB50" s="19" t="str">
        <f aca="false">IF(NOT(ISNUMBER(Q50)),"",IF(E50="organizer_case",IF(ISNUMBER(P50),ROUND((Q50-P50)*86400,0),""),IF(J50="ADVANCE",IF(ISNUMBER(O50),ROUND((Q50-MAX(O50,N50))*86400,0),""),IF(ISNUMBER(O50),ROUND((Q50-O50)*86400,0),""))))</f>
        <v/>
      </c>
      <c r="AC50" s="19" t="str">
        <f aca="false">IF(AND(ISNUMBER(Q50),ISNUMBER(R50)),ROUND(R50-Q50,2),"")</f>
        <v/>
      </c>
      <c r="AD50" s="19" t="str">
        <f aca="false">IF(AND(ISNUMBER(AB50),ISNUMBER(Z50)),AB50-Z50,"")</f>
        <v/>
      </c>
      <c r="AE50" s="19"/>
      <c r="AF50" s="19"/>
      <c r="AG50" s="22"/>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4"/>
      <c r="BH50" s="23"/>
      <c r="BI50" s="23"/>
      <c r="BJ50" s="19"/>
      <c r="BK50" s="19"/>
      <c r="BL50" s="19"/>
      <c r="BM50" s="19"/>
      <c r="BN50" s="23"/>
      <c r="BO50" s="23"/>
      <c r="BP50" s="19"/>
      <c r="BQ50" s="19"/>
      <c r="BR50" s="19"/>
      <c r="BS50" s="23"/>
    </row>
    <row r="51" customFormat="false" ht="15" hidden="false" customHeight="false" outlineLevel="0" collapsed="false">
      <c r="A51" s="19"/>
      <c r="B51" s="19"/>
      <c r="C51" s="19"/>
      <c r="D51" s="19"/>
      <c r="E51" s="19"/>
      <c r="F51" s="19"/>
      <c r="G51" s="19"/>
      <c r="H51" s="20"/>
      <c r="I51" s="19"/>
      <c r="J51" s="19"/>
      <c r="K51" s="19"/>
      <c r="L51" s="21"/>
      <c r="M51" s="21"/>
      <c r="N51" s="21"/>
      <c r="O51" s="21"/>
      <c r="P51" s="21"/>
      <c r="Q51" s="21"/>
      <c r="R51" s="21"/>
      <c r="S51" s="19"/>
      <c r="T51" s="19"/>
      <c r="U51" s="19"/>
      <c r="V51" s="19"/>
      <c r="W51" s="19"/>
      <c r="X51" s="19"/>
      <c r="Y51" s="19"/>
      <c r="Z51" s="19"/>
      <c r="AA51" s="19"/>
      <c r="AB51" s="19" t="str">
        <f aca="false">IF(NOT(ISNUMBER(Q51)),"",IF(E51="organizer_case",IF(ISNUMBER(P51),ROUND((Q51-P51)*86400,0),""),IF(J51="ADVANCE",IF(ISNUMBER(O51),ROUND((Q51-MAX(O51,N51))*86400,0),""),IF(ISNUMBER(O51),ROUND((Q51-O51)*86400,0),""))))</f>
        <v/>
      </c>
      <c r="AC51" s="19" t="str">
        <f aca="false">IF(AND(ISNUMBER(Q51),ISNUMBER(R51)),ROUND(R51-Q51,2),"")</f>
        <v/>
      </c>
      <c r="AD51" s="19" t="str">
        <f aca="false">IF(AND(ISNUMBER(AB51),ISNUMBER(Z51)),AB51-Z51,"")</f>
        <v/>
      </c>
      <c r="AE51" s="19"/>
      <c r="AF51" s="19"/>
      <c r="AG51" s="22"/>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4"/>
      <c r="BH51" s="23"/>
      <c r="BI51" s="23"/>
      <c r="BJ51" s="19"/>
      <c r="BK51" s="19"/>
      <c r="BL51" s="19"/>
      <c r="BM51" s="19"/>
      <c r="BN51" s="23"/>
      <c r="BO51" s="23"/>
      <c r="BP51" s="19"/>
      <c r="BQ51" s="19"/>
      <c r="BR51" s="19"/>
      <c r="BS51" s="23"/>
    </row>
    <row r="52" customFormat="false" ht="15" hidden="false" customHeight="false" outlineLevel="0" collapsed="false">
      <c r="A52" s="19"/>
      <c r="B52" s="19"/>
      <c r="C52" s="19"/>
      <c r="D52" s="19"/>
      <c r="E52" s="19"/>
      <c r="F52" s="19"/>
      <c r="G52" s="19"/>
      <c r="H52" s="20"/>
      <c r="I52" s="19"/>
      <c r="J52" s="19"/>
      <c r="K52" s="19"/>
      <c r="L52" s="21"/>
      <c r="M52" s="21"/>
      <c r="N52" s="21"/>
      <c r="O52" s="21"/>
      <c r="P52" s="21"/>
      <c r="Q52" s="21"/>
      <c r="R52" s="21"/>
      <c r="S52" s="19"/>
      <c r="T52" s="19"/>
      <c r="U52" s="19"/>
      <c r="V52" s="19"/>
      <c r="W52" s="19"/>
      <c r="X52" s="19"/>
      <c r="Y52" s="19"/>
      <c r="Z52" s="19"/>
      <c r="AA52" s="19"/>
      <c r="AB52" s="19" t="str">
        <f aca="false">IF(NOT(ISNUMBER(Q52)),"",IF(E52="organizer_case",IF(ISNUMBER(P52),ROUND((Q52-P52)*86400,0),""),IF(J52="ADVANCE",IF(ISNUMBER(O52),ROUND((Q52-MAX(O52,N52))*86400,0),""),IF(ISNUMBER(O52),ROUND((Q52-O52)*86400,0),""))))</f>
        <v/>
      </c>
      <c r="AC52" s="19" t="str">
        <f aca="false">IF(AND(ISNUMBER(Q52),ISNUMBER(R52)),ROUND(R52-Q52,2),"")</f>
        <v/>
      </c>
      <c r="AD52" s="19" t="str">
        <f aca="false">IF(AND(ISNUMBER(AB52),ISNUMBER(Z52)),AB52-Z52,"")</f>
        <v/>
      </c>
      <c r="AE52" s="19"/>
      <c r="AF52" s="19"/>
      <c r="AG52" s="22"/>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4"/>
      <c r="BH52" s="23"/>
      <c r="BI52" s="23"/>
      <c r="BJ52" s="19"/>
      <c r="BK52" s="19"/>
      <c r="BL52" s="19"/>
      <c r="BM52" s="19"/>
      <c r="BN52" s="23"/>
      <c r="BO52" s="23"/>
      <c r="BP52" s="19"/>
      <c r="BQ52" s="19"/>
      <c r="BR52" s="19"/>
      <c r="BS52" s="23"/>
    </row>
    <row r="53" customFormat="false" ht="15" hidden="false" customHeight="false" outlineLevel="0" collapsed="false">
      <c r="A53" s="19"/>
      <c r="B53" s="19"/>
      <c r="C53" s="19"/>
      <c r="D53" s="19"/>
      <c r="E53" s="19"/>
      <c r="F53" s="19"/>
      <c r="G53" s="19"/>
      <c r="H53" s="20"/>
      <c r="I53" s="19"/>
      <c r="J53" s="19"/>
      <c r="K53" s="19"/>
      <c r="L53" s="21"/>
      <c r="M53" s="21"/>
      <c r="N53" s="21"/>
      <c r="O53" s="21"/>
      <c r="P53" s="21"/>
      <c r="Q53" s="21"/>
      <c r="R53" s="21"/>
      <c r="S53" s="19"/>
      <c r="T53" s="19"/>
      <c r="U53" s="19"/>
      <c r="V53" s="19"/>
      <c r="W53" s="19"/>
      <c r="X53" s="19"/>
      <c r="Y53" s="19"/>
      <c r="Z53" s="19"/>
      <c r="AA53" s="19"/>
      <c r="AB53" s="19" t="str">
        <f aca="false">IF(NOT(ISNUMBER(Q53)),"",IF(E53="organizer_case",IF(ISNUMBER(P53),ROUND((Q53-P53)*86400,0),""),IF(J53="ADVANCE",IF(ISNUMBER(O53),ROUND((Q53-MAX(O53,N53))*86400,0),""),IF(ISNUMBER(O53),ROUND((Q53-O53)*86400,0),""))))</f>
        <v/>
      </c>
      <c r="AC53" s="19" t="str">
        <f aca="false">IF(AND(ISNUMBER(Q53),ISNUMBER(R53)),ROUND(R53-Q53,2),"")</f>
        <v/>
      </c>
      <c r="AD53" s="19" t="str">
        <f aca="false">IF(AND(ISNUMBER(AB53),ISNUMBER(Z53)),AB53-Z53,"")</f>
        <v/>
      </c>
      <c r="AE53" s="19"/>
      <c r="AF53" s="19"/>
      <c r="AG53" s="22"/>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4"/>
      <c r="BH53" s="23"/>
      <c r="BI53" s="23"/>
      <c r="BJ53" s="19"/>
      <c r="BK53" s="19"/>
      <c r="BL53" s="19"/>
      <c r="BM53" s="19"/>
      <c r="BN53" s="23"/>
      <c r="BO53" s="23"/>
      <c r="BP53" s="19"/>
      <c r="BQ53" s="19"/>
      <c r="BR53" s="19"/>
      <c r="BS53" s="23"/>
    </row>
    <row r="54" customFormat="false" ht="15" hidden="false" customHeight="false" outlineLevel="0" collapsed="false">
      <c r="A54" s="19"/>
      <c r="B54" s="19"/>
      <c r="C54" s="19"/>
      <c r="D54" s="19"/>
      <c r="E54" s="19"/>
      <c r="F54" s="19"/>
      <c r="G54" s="19"/>
      <c r="H54" s="20"/>
      <c r="I54" s="19"/>
      <c r="J54" s="19"/>
      <c r="K54" s="19"/>
      <c r="L54" s="21"/>
      <c r="M54" s="21"/>
      <c r="N54" s="21"/>
      <c r="O54" s="21"/>
      <c r="P54" s="21"/>
      <c r="Q54" s="21"/>
      <c r="R54" s="21"/>
      <c r="S54" s="19"/>
      <c r="T54" s="19"/>
      <c r="U54" s="19"/>
      <c r="V54" s="19"/>
      <c r="W54" s="19"/>
      <c r="X54" s="19"/>
      <c r="Y54" s="19"/>
      <c r="Z54" s="19"/>
      <c r="AA54" s="19"/>
      <c r="AB54" s="19" t="str">
        <f aca="false">IF(NOT(ISNUMBER(Q54)),"",IF(E54="organizer_case",IF(ISNUMBER(P54),ROUND((Q54-P54)*86400,0),""),IF(J54="ADVANCE",IF(ISNUMBER(O54),ROUND((Q54-MAX(O54,N54))*86400,0),""),IF(ISNUMBER(O54),ROUND((Q54-O54)*86400,0),""))))</f>
        <v/>
      </c>
      <c r="AC54" s="19" t="str">
        <f aca="false">IF(AND(ISNUMBER(Q54),ISNUMBER(R54)),ROUND(R54-Q54,2),"")</f>
        <v/>
      </c>
      <c r="AD54" s="19" t="str">
        <f aca="false">IF(AND(ISNUMBER(AB54),ISNUMBER(Z54)),AB54-Z54,"")</f>
        <v/>
      </c>
      <c r="AE54" s="19"/>
      <c r="AF54" s="19"/>
      <c r="AG54" s="22"/>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4"/>
      <c r="BH54" s="23"/>
      <c r="BI54" s="23"/>
      <c r="BJ54" s="19"/>
      <c r="BK54" s="19"/>
      <c r="BL54" s="19"/>
      <c r="BM54" s="19"/>
      <c r="BN54" s="23"/>
      <c r="BO54" s="23"/>
      <c r="BP54" s="19"/>
      <c r="BQ54" s="19"/>
      <c r="BR54" s="19"/>
      <c r="BS54" s="23"/>
    </row>
    <row r="55" customFormat="false" ht="15" hidden="false" customHeight="false" outlineLevel="0" collapsed="false">
      <c r="A55" s="19"/>
      <c r="B55" s="19"/>
      <c r="C55" s="19"/>
      <c r="D55" s="19"/>
      <c r="E55" s="19"/>
      <c r="F55" s="19"/>
      <c r="G55" s="19"/>
      <c r="H55" s="20"/>
      <c r="I55" s="19"/>
      <c r="J55" s="19"/>
      <c r="K55" s="19"/>
      <c r="L55" s="21"/>
      <c r="M55" s="21"/>
      <c r="N55" s="21"/>
      <c r="O55" s="21"/>
      <c r="P55" s="21"/>
      <c r="Q55" s="21"/>
      <c r="R55" s="21"/>
      <c r="S55" s="19"/>
      <c r="T55" s="19"/>
      <c r="U55" s="19"/>
      <c r="V55" s="19"/>
      <c r="W55" s="19"/>
      <c r="X55" s="19"/>
      <c r="Y55" s="19"/>
      <c r="Z55" s="19"/>
      <c r="AA55" s="19"/>
      <c r="AB55" s="19" t="str">
        <f aca="false">IF(NOT(ISNUMBER(Q55)),"",IF(E55="organizer_case",IF(ISNUMBER(P55),ROUND((Q55-P55)*86400,0),""),IF(J55="ADVANCE",IF(ISNUMBER(O55),ROUND((Q55-MAX(O55,N55))*86400,0),""),IF(ISNUMBER(O55),ROUND((Q55-O55)*86400,0),""))))</f>
        <v/>
      </c>
      <c r="AC55" s="19" t="str">
        <f aca="false">IF(AND(ISNUMBER(Q55),ISNUMBER(R55)),ROUND(R55-Q55,2),"")</f>
        <v/>
      </c>
      <c r="AD55" s="19" t="str">
        <f aca="false">IF(AND(ISNUMBER(AB55),ISNUMBER(Z55)),AB55-Z55,"")</f>
        <v/>
      </c>
      <c r="AE55" s="19"/>
      <c r="AF55" s="19"/>
      <c r="AG55" s="22"/>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4"/>
      <c r="BH55" s="23"/>
      <c r="BI55" s="23"/>
      <c r="BJ55" s="19"/>
      <c r="BK55" s="19"/>
      <c r="BL55" s="19"/>
      <c r="BM55" s="19"/>
      <c r="BN55" s="23"/>
      <c r="BO55" s="23"/>
      <c r="BP55" s="19"/>
      <c r="BQ55" s="19"/>
      <c r="BR55" s="19"/>
      <c r="BS55" s="23"/>
    </row>
    <row r="56" customFormat="false" ht="15" hidden="false" customHeight="false" outlineLevel="0" collapsed="false">
      <c r="A56" s="19"/>
      <c r="B56" s="19"/>
      <c r="C56" s="19"/>
      <c r="D56" s="19"/>
      <c r="E56" s="19"/>
      <c r="F56" s="19"/>
      <c r="G56" s="19"/>
      <c r="H56" s="20"/>
      <c r="I56" s="19"/>
      <c r="J56" s="19"/>
      <c r="K56" s="19"/>
      <c r="L56" s="21"/>
      <c r="M56" s="21"/>
      <c r="N56" s="21"/>
      <c r="O56" s="21"/>
      <c r="P56" s="21"/>
      <c r="Q56" s="21"/>
      <c r="R56" s="21"/>
      <c r="S56" s="19"/>
      <c r="T56" s="19"/>
      <c r="U56" s="19"/>
      <c r="V56" s="19"/>
      <c r="W56" s="19"/>
      <c r="X56" s="19"/>
      <c r="Y56" s="19"/>
      <c r="Z56" s="19"/>
      <c r="AA56" s="19"/>
      <c r="AB56" s="19" t="str">
        <f aca="false">IF(NOT(ISNUMBER(Q56)),"",IF(E56="organizer_case",IF(ISNUMBER(P56),ROUND((Q56-P56)*86400,0),""),IF(J56="ADVANCE",IF(ISNUMBER(O56),ROUND((Q56-MAX(O56,N56))*86400,0),""),IF(ISNUMBER(O56),ROUND((Q56-O56)*86400,0),""))))</f>
        <v/>
      </c>
      <c r="AC56" s="19" t="str">
        <f aca="false">IF(AND(ISNUMBER(Q56),ISNUMBER(R56)),ROUND(R56-Q56,2),"")</f>
        <v/>
      </c>
      <c r="AD56" s="19" t="str">
        <f aca="false">IF(AND(ISNUMBER(AB56),ISNUMBER(Z56)),AB56-Z56,"")</f>
        <v/>
      </c>
      <c r="AE56" s="19"/>
      <c r="AF56" s="19"/>
      <c r="AG56" s="22"/>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4"/>
      <c r="BH56" s="23"/>
      <c r="BI56" s="23"/>
      <c r="BJ56" s="19"/>
      <c r="BK56" s="19"/>
      <c r="BL56" s="19"/>
      <c r="BM56" s="19"/>
      <c r="BN56" s="23"/>
      <c r="BO56" s="23"/>
      <c r="BP56" s="19"/>
      <c r="BQ56" s="19"/>
      <c r="BR56" s="19"/>
      <c r="BS56" s="23"/>
    </row>
    <row r="57" customFormat="false" ht="15" hidden="false" customHeight="false" outlineLevel="0" collapsed="false">
      <c r="A57" s="19"/>
      <c r="B57" s="19"/>
      <c r="C57" s="19"/>
      <c r="D57" s="19"/>
      <c r="E57" s="19"/>
      <c r="F57" s="19"/>
      <c r="G57" s="19"/>
      <c r="H57" s="20"/>
      <c r="I57" s="19"/>
      <c r="J57" s="19"/>
      <c r="K57" s="19"/>
      <c r="L57" s="21"/>
      <c r="M57" s="21"/>
      <c r="N57" s="21"/>
      <c r="O57" s="21"/>
      <c r="P57" s="21"/>
      <c r="Q57" s="21"/>
      <c r="R57" s="21"/>
      <c r="S57" s="19"/>
      <c r="T57" s="19"/>
      <c r="U57" s="19"/>
      <c r="V57" s="19"/>
      <c r="W57" s="19"/>
      <c r="X57" s="19"/>
      <c r="Y57" s="19"/>
      <c r="Z57" s="19"/>
      <c r="AA57" s="19"/>
      <c r="AB57" s="19" t="str">
        <f aca="false">IF(NOT(ISNUMBER(Q57)),"",IF(E57="organizer_case",IF(ISNUMBER(P57),ROUND((Q57-P57)*86400,0),""),IF(J57="ADVANCE",IF(ISNUMBER(O57),ROUND((Q57-MAX(O57,N57))*86400,0),""),IF(ISNUMBER(O57),ROUND((Q57-O57)*86400,0),""))))</f>
        <v/>
      </c>
      <c r="AC57" s="19" t="str">
        <f aca="false">IF(AND(ISNUMBER(Q57),ISNUMBER(R57)),ROUND(R57-Q57,2),"")</f>
        <v/>
      </c>
      <c r="AD57" s="19" t="str">
        <f aca="false">IF(AND(ISNUMBER(AB57),ISNUMBER(Z57)),AB57-Z57,"")</f>
        <v/>
      </c>
      <c r="AE57" s="19"/>
      <c r="AF57" s="19"/>
      <c r="AG57" s="22"/>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4"/>
      <c r="BH57" s="23"/>
      <c r="BI57" s="23"/>
      <c r="BJ57" s="19"/>
      <c r="BK57" s="19"/>
      <c r="BL57" s="19"/>
      <c r="BM57" s="19"/>
      <c r="BN57" s="23"/>
      <c r="BO57" s="23"/>
      <c r="BP57" s="19"/>
      <c r="BQ57" s="19"/>
      <c r="BR57" s="19"/>
      <c r="BS57" s="23"/>
    </row>
    <row r="58" customFormat="false" ht="15" hidden="false" customHeight="false" outlineLevel="0" collapsed="false">
      <c r="A58" s="19"/>
      <c r="B58" s="19"/>
      <c r="C58" s="19"/>
      <c r="D58" s="19"/>
      <c r="E58" s="19"/>
      <c r="F58" s="19"/>
      <c r="G58" s="19"/>
      <c r="H58" s="20"/>
      <c r="I58" s="19"/>
      <c r="J58" s="19"/>
      <c r="K58" s="19"/>
      <c r="L58" s="21"/>
      <c r="M58" s="21"/>
      <c r="N58" s="21"/>
      <c r="O58" s="21"/>
      <c r="P58" s="21"/>
      <c r="Q58" s="21"/>
      <c r="R58" s="21"/>
      <c r="S58" s="19"/>
      <c r="T58" s="19"/>
      <c r="U58" s="19"/>
      <c r="V58" s="19"/>
      <c r="W58" s="19"/>
      <c r="X58" s="19"/>
      <c r="Y58" s="19"/>
      <c r="Z58" s="19"/>
      <c r="AA58" s="19"/>
      <c r="AB58" s="19" t="str">
        <f aca="false">IF(NOT(ISNUMBER(Q58)),"",IF(E58="organizer_case",IF(ISNUMBER(P58),ROUND((Q58-P58)*86400,0),""),IF(J58="ADVANCE",IF(ISNUMBER(O58),ROUND((Q58-MAX(O58,N58))*86400,0),""),IF(ISNUMBER(O58),ROUND((Q58-O58)*86400,0),""))))</f>
        <v/>
      </c>
      <c r="AC58" s="19" t="str">
        <f aca="false">IF(AND(ISNUMBER(Q58),ISNUMBER(R58)),ROUND(R58-Q58,2),"")</f>
        <v/>
      </c>
      <c r="AD58" s="19" t="str">
        <f aca="false">IF(AND(ISNUMBER(AB58),ISNUMBER(Z58)),AB58-Z58,"")</f>
        <v/>
      </c>
      <c r="AE58" s="19"/>
      <c r="AF58" s="19"/>
      <c r="AG58" s="22"/>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4"/>
      <c r="BH58" s="23"/>
      <c r="BI58" s="23"/>
      <c r="BJ58" s="19"/>
      <c r="BK58" s="19"/>
      <c r="BL58" s="19"/>
      <c r="BM58" s="19"/>
      <c r="BN58" s="23"/>
      <c r="BO58" s="23"/>
      <c r="BP58" s="19"/>
      <c r="BQ58" s="19"/>
      <c r="BR58" s="19"/>
      <c r="BS58" s="23"/>
    </row>
    <row r="59" customFormat="false" ht="15" hidden="false" customHeight="false" outlineLevel="0" collapsed="false">
      <c r="A59" s="19"/>
      <c r="B59" s="19"/>
      <c r="C59" s="19"/>
      <c r="D59" s="19"/>
      <c r="E59" s="19"/>
      <c r="F59" s="19"/>
      <c r="G59" s="19"/>
      <c r="H59" s="20"/>
      <c r="I59" s="19"/>
      <c r="J59" s="19"/>
      <c r="K59" s="19"/>
      <c r="L59" s="21"/>
      <c r="M59" s="21"/>
      <c r="N59" s="21"/>
      <c r="O59" s="21"/>
      <c r="P59" s="21"/>
      <c r="Q59" s="21"/>
      <c r="R59" s="21"/>
      <c r="S59" s="19"/>
      <c r="T59" s="19"/>
      <c r="U59" s="19"/>
      <c r="V59" s="19"/>
      <c r="W59" s="19"/>
      <c r="X59" s="19"/>
      <c r="Y59" s="19"/>
      <c r="Z59" s="19"/>
      <c r="AA59" s="19"/>
      <c r="AB59" s="19" t="str">
        <f aca="false">IF(NOT(ISNUMBER(Q59)),"",IF(E59="organizer_case",IF(ISNUMBER(P59),ROUND((Q59-P59)*86400,0),""),IF(J59="ADVANCE",IF(ISNUMBER(O59),ROUND((Q59-MAX(O59,N59))*86400,0),""),IF(ISNUMBER(O59),ROUND((Q59-O59)*86400,0),""))))</f>
        <v/>
      </c>
      <c r="AC59" s="19" t="str">
        <f aca="false">IF(AND(ISNUMBER(Q59),ISNUMBER(R59)),ROUND(R59-Q59,2),"")</f>
        <v/>
      </c>
      <c r="AD59" s="19" t="str">
        <f aca="false">IF(AND(ISNUMBER(AB59),ISNUMBER(Z59)),AB59-Z59,"")</f>
        <v/>
      </c>
      <c r="AE59" s="19"/>
      <c r="AF59" s="19"/>
      <c r="AG59" s="22"/>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4"/>
      <c r="BH59" s="23"/>
      <c r="BI59" s="23"/>
      <c r="BJ59" s="19"/>
      <c r="BK59" s="19"/>
      <c r="BL59" s="19"/>
      <c r="BM59" s="19"/>
      <c r="BN59" s="23"/>
      <c r="BO59" s="23"/>
      <c r="BP59" s="19"/>
      <c r="BQ59" s="19"/>
      <c r="BR59" s="19"/>
      <c r="BS59" s="23"/>
    </row>
    <row r="60" customFormat="false" ht="15" hidden="false" customHeight="false" outlineLevel="0" collapsed="false">
      <c r="A60" s="19"/>
      <c r="B60" s="19"/>
      <c r="C60" s="19"/>
      <c r="D60" s="19"/>
      <c r="E60" s="19"/>
      <c r="F60" s="19"/>
      <c r="G60" s="19"/>
      <c r="H60" s="20"/>
      <c r="I60" s="19"/>
      <c r="J60" s="19"/>
      <c r="K60" s="19"/>
      <c r="L60" s="21"/>
      <c r="M60" s="21"/>
      <c r="N60" s="21"/>
      <c r="O60" s="21"/>
      <c r="P60" s="21"/>
      <c r="Q60" s="21"/>
      <c r="R60" s="21"/>
      <c r="S60" s="19"/>
      <c r="T60" s="19"/>
      <c r="U60" s="19"/>
      <c r="V60" s="19"/>
      <c r="W60" s="19"/>
      <c r="X60" s="19"/>
      <c r="Y60" s="19"/>
      <c r="Z60" s="19"/>
      <c r="AA60" s="19"/>
      <c r="AB60" s="19" t="str">
        <f aca="false">IF(NOT(ISNUMBER(Q60)),"",IF(E60="organizer_case",IF(ISNUMBER(P60),ROUND((Q60-P60)*86400,0),""),IF(J60="ADVANCE",IF(ISNUMBER(O60),ROUND((Q60-MAX(O60,N60))*86400,0),""),IF(ISNUMBER(O60),ROUND((Q60-O60)*86400,0),""))))</f>
        <v/>
      </c>
      <c r="AC60" s="19" t="str">
        <f aca="false">IF(AND(ISNUMBER(Q60),ISNUMBER(R60)),ROUND(R60-Q60,2),"")</f>
        <v/>
      </c>
      <c r="AD60" s="19" t="str">
        <f aca="false">IF(AND(ISNUMBER(AB60),ISNUMBER(Z60)),AB60-Z60,"")</f>
        <v/>
      </c>
      <c r="AE60" s="19"/>
      <c r="AF60" s="19"/>
      <c r="AG60" s="22"/>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4"/>
      <c r="BH60" s="23"/>
      <c r="BI60" s="23"/>
      <c r="BJ60" s="19"/>
      <c r="BK60" s="19"/>
      <c r="BL60" s="19"/>
      <c r="BM60" s="19"/>
      <c r="BN60" s="23"/>
      <c r="BO60" s="23"/>
      <c r="BP60" s="19"/>
      <c r="BQ60" s="19"/>
      <c r="BR60" s="19"/>
      <c r="BS60" s="23"/>
    </row>
    <row r="61" customFormat="false" ht="15" hidden="false" customHeight="false" outlineLevel="0" collapsed="false">
      <c r="A61" s="19"/>
      <c r="B61" s="19"/>
      <c r="C61" s="19"/>
      <c r="D61" s="19"/>
      <c r="E61" s="19"/>
      <c r="F61" s="19"/>
      <c r="G61" s="19"/>
      <c r="H61" s="20"/>
      <c r="I61" s="19"/>
      <c r="J61" s="19"/>
      <c r="K61" s="19"/>
      <c r="L61" s="21"/>
      <c r="M61" s="21"/>
      <c r="N61" s="21"/>
      <c r="O61" s="21"/>
      <c r="P61" s="21"/>
      <c r="Q61" s="21"/>
      <c r="R61" s="21"/>
      <c r="S61" s="19"/>
      <c r="T61" s="19"/>
      <c r="U61" s="19"/>
      <c r="V61" s="19"/>
      <c r="W61" s="19"/>
      <c r="X61" s="19"/>
      <c r="Y61" s="19"/>
      <c r="Z61" s="19"/>
      <c r="AA61" s="19"/>
      <c r="AB61" s="19" t="str">
        <f aca="false">IF(NOT(ISNUMBER(Q61)),"",IF(E61="organizer_case",IF(ISNUMBER(P61),ROUND((Q61-P61)*86400,0),""),IF(J61="ADVANCE",IF(ISNUMBER(O61),ROUND((Q61-MAX(O61,N61))*86400,0),""),IF(ISNUMBER(O61),ROUND((Q61-O61)*86400,0),""))))</f>
        <v/>
      </c>
      <c r="AC61" s="19" t="str">
        <f aca="false">IF(AND(ISNUMBER(Q61),ISNUMBER(R61)),ROUND(R61-Q61,2),"")</f>
        <v/>
      </c>
      <c r="AD61" s="19" t="str">
        <f aca="false">IF(AND(ISNUMBER(AB61),ISNUMBER(Z61)),AB61-Z61,"")</f>
        <v/>
      </c>
      <c r="AE61" s="19"/>
      <c r="AF61" s="19"/>
      <c r="AG61" s="22"/>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4"/>
      <c r="BH61" s="23"/>
      <c r="BI61" s="23"/>
      <c r="BJ61" s="19"/>
      <c r="BK61" s="19"/>
      <c r="BL61" s="19"/>
      <c r="BM61" s="19"/>
      <c r="BN61" s="23"/>
      <c r="BO61" s="23"/>
      <c r="BP61" s="19"/>
      <c r="BQ61" s="19"/>
      <c r="BR61" s="19"/>
      <c r="BS61" s="23"/>
    </row>
    <row r="62" customFormat="false" ht="15" hidden="false" customHeight="false" outlineLevel="0" collapsed="false">
      <c r="A62" s="19"/>
      <c r="B62" s="19"/>
      <c r="C62" s="19"/>
      <c r="D62" s="19"/>
      <c r="E62" s="19"/>
      <c r="F62" s="19"/>
      <c r="G62" s="19"/>
      <c r="H62" s="20"/>
      <c r="I62" s="19"/>
      <c r="J62" s="19"/>
      <c r="K62" s="19"/>
      <c r="L62" s="21"/>
      <c r="M62" s="21"/>
      <c r="N62" s="21"/>
      <c r="O62" s="21"/>
      <c r="P62" s="21"/>
      <c r="Q62" s="21"/>
      <c r="R62" s="21"/>
      <c r="S62" s="19"/>
      <c r="T62" s="19"/>
      <c r="U62" s="19"/>
      <c r="V62" s="19"/>
      <c r="W62" s="19"/>
      <c r="X62" s="19"/>
      <c r="Y62" s="19"/>
      <c r="Z62" s="19"/>
      <c r="AA62" s="19"/>
      <c r="AB62" s="19" t="str">
        <f aca="false">IF(NOT(ISNUMBER(Q62)),"",IF(E62="organizer_case",IF(ISNUMBER(P62),ROUND((Q62-P62)*86400,0),""),IF(J62="ADVANCE",IF(ISNUMBER(O62),ROUND((Q62-MAX(O62,N62))*86400,0),""),IF(ISNUMBER(O62),ROUND((Q62-O62)*86400,0),""))))</f>
        <v/>
      </c>
      <c r="AC62" s="19" t="str">
        <f aca="false">IF(AND(ISNUMBER(Q62),ISNUMBER(R62)),ROUND(R62-Q62,2),"")</f>
        <v/>
      </c>
      <c r="AD62" s="19" t="str">
        <f aca="false">IF(AND(ISNUMBER(AB62),ISNUMBER(Z62)),AB62-Z62,"")</f>
        <v/>
      </c>
      <c r="AE62" s="19"/>
      <c r="AF62" s="19"/>
      <c r="AG62" s="22"/>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4"/>
      <c r="BH62" s="23"/>
      <c r="BI62" s="23"/>
      <c r="BJ62" s="19"/>
      <c r="BK62" s="19"/>
      <c r="BL62" s="19"/>
      <c r="BM62" s="19"/>
      <c r="BN62" s="23"/>
      <c r="BO62" s="23"/>
      <c r="BP62" s="19"/>
      <c r="BQ62" s="19"/>
      <c r="BR62" s="19"/>
      <c r="BS62" s="23"/>
    </row>
    <row r="63" customFormat="false" ht="15" hidden="false" customHeight="false" outlineLevel="0" collapsed="false">
      <c r="A63" s="19"/>
      <c r="B63" s="19"/>
      <c r="C63" s="19"/>
      <c r="D63" s="19"/>
      <c r="E63" s="19"/>
      <c r="F63" s="19"/>
      <c r="G63" s="19"/>
      <c r="H63" s="20"/>
      <c r="I63" s="19"/>
      <c r="J63" s="19"/>
      <c r="K63" s="19"/>
      <c r="L63" s="21"/>
      <c r="M63" s="21"/>
      <c r="N63" s="21"/>
      <c r="O63" s="21"/>
      <c r="P63" s="21"/>
      <c r="Q63" s="21"/>
      <c r="R63" s="21"/>
      <c r="S63" s="19"/>
      <c r="T63" s="19"/>
      <c r="U63" s="19"/>
      <c r="V63" s="19"/>
      <c r="W63" s="19"/>
      <c r="X63" s="19"/>
      <c r="Y63" s="19"/>
      <c r="Z63" s="19"/>
      <c r="AA63" s="19"/>
      <c r="AB63" s="19" t="str">
        <f aca="false">IF(NOT(ISNUMBER(Q63)),"",IF(E63="organizer_case",IF(ISNUMBER(P63),ROUND((Q63-P63)*86400,0),""),IF(J63="ADVANCE",IF(ISNUMBER(O63),ROUND((Q63-MAX(O63,N63))*86400,0),""),IF(ISNUMBER(O63),ROUND((Q63-O63)*86400,0),""))))</f>
        <v/>
      </c>
      <c r="AC63" s="19" t="str">
        <f aca="false">IF(AND(ISNUMBER(Q63),ISNUMBER(R63)),ROUND(R63-Q63,2),"")</f>
        <v/>
      </c>
      <c r="AD63" s="19" t="str">
        <f aca="false">IF(AND(ISNUMBER(AB63),ISNUMBER(Z63)),AB63-Z63,"")</f>
        <v/>
      </c>
      <c r="AE63" s="19"/>
      <c r="AF63" s="19"/>
      <c r="AG63" s="22"/>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4"/>
      <c r="BH63" s="23"/>
      <c r="BI63" s="23"/>
      <c r="BJ63" s="19"/>
      <c r="BK63" s="19"/>
      <c r="BL63" s="19"/>
      <c r="BM63" s="19"/>
      <c r="BN63" s="23"/>
      <c r="BO63" s="23"/>
      <c r="BP63" s="19"/>
      <c r="BQ63" s="19"/>
      <c r="BR63" s="19"/>
      <c r="BS63" s="23"/>
    </row>
    <row r="64" customFormat="false" ht="15" hidden="false" customHeight="false" outlineLevel="0" collapsed="false">
      <c r="A64" s="19"/>
      <c r="B64" s="19"/>
      <c r="C64" s="19"/>
      <c r="D64" s="19"/>
      <c r="E64" s="19"/>
      <c r="F64" s="19"/>
      <c r="G64" s="19"/>
      <c r="H64" s="20"/>
      <c r="I64" s="19"/>
      <c r="J64" s="19"/>
      <c r="K64" s="19"/>
      <c r="L64" s="21"/>
      <c r="M64" s="21"/>
      <c r="N64" s="21"/>
      <c r="O64" s="21"/>
      <c r="P64" s="21"/>
      <c r="Q64" s="21"/>
      <c r="R64" s="21"/>
      <c r="S64" s="19"/>
      <c r="T64" s="19"/>
      <c r="U64" s="19"/>
      <c r="V64" s="19"/>
      <c r="W64" s="19"/>
      <c r="X64" s="19"/>
      <c r="Y64" s="19"/>
      <c r="Z64" s="19"/>
      <c r="AA64" s="19"/>
      <c r="AB64" s="19" t="str">
        <f aca="false">IF(NOT(ISNUMBER(Q64)),"",IF(E64="organizer_case",IF(ISNUMBER(P64),ROUND((Q64-P64)*86400,0),""),IF(J64="ADVANCE",IF(ISNUMBER(O64),ROUND((Q64-MAX(O64,N64))*86400,0),""),IF(ISNUMBER(O64),ROUND((Q64-O64)*86400,0),""))))</f>
        <v/>
      </c>
      <c r="AC64" s="19" t="str">
        <f aca="false">IF(AND(ISNUMBER(Q64),ISNUMBER(R64)),ROUND(R64-Q64,2),"")</f>
        <v/>
      </c>
      <c r="AD64" s="19" t="str">
        <f aca="false">IF(AND(ISNUMBER(AB64),ISNUMBER(Z64)),AB64-Z64,"")</f>
        <v/>
      </c>
      <c r="AE64" s="19"/>
      <c r="AF64" s="19"/>
      <c r="AG64" s="22"/>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4"/>
      <c r="BH64" s="23"/>
      <c r="BI64" s="23"/>
      <c r="BJ64" s="19"/>
      <c r="BK64" s="19"/>
      <c r="BL64" s="19"/>
      <c r="BM64" s="19"/>
      <c r="BN64" s="23"/>
      <c r="BO64" s="23"/>
      <c r="BP64" s="19"/>
      <c r="BQ64" s="19"/>
      <c r="BR64" s="19"/>
      <c r="BS64" s="23"/>
    </row>
    <row r="65" customFormat="false" ht="15" hidden="false" customHeight="false" outlineLevel="0" collapsed="false">
      <c r="A65" s="19"/>
      <c r="B65" s="19"/>
      <c r="C65" s="19"/>
      <c r="D65" s="19"/>
      <c r="E65" s="19"/>
      <c r="F65" s="19"/>
      <c r="G65" s="19"/>
      <c r="H65" s="20"/>
      <c r="I65" s="19"/>
      <c r="J65" s="19"/>
      <c r="K65" s="19"/>
      <c r="L65" s="21"/>
      <c r="M65" s="21"/>
      <c r="N65" s="21"/>
      <c r="O65" s="21"/>
      <c r="P65" s="21"/>
      <c r="Q65" s="21"/>
      <c r="R65" s="21"/>
      <c r="S65" s="19"/>
      <c r="T65" s="19"/>
      <c r="U65" s="19"/>
      <c r="V65" s="19"/>
      <c r="W65" s="19"/>
      <c r="X65" s="19"/>
      <c r="Y65" s="19"/>
      <c r="Z65" s="19"/>
      <c r="AA65" s="19"/>
      <c r="AB65" s="19" t="str">
        <f aca="false">IF(NOT(ISNUMBER(Q65)),"",IF(E65="organizer_case",IF(ISNUMBER(P65),ROUND((Q65-P65)*86400,0),""),IF(J65="ADVANCE",IF(ISNUMBER(O65),ROUND((Q65-MAX(O65,N65))*86400,0),""),IF(ISNUMBER(O65),ROUND((Q65-O65)*86400,0),""))))</f>
        <v/>
      </c>
      <c r="AC65" s="19" t="str">
        <f aca="false">IF(AND(ISNUMBER(Q65),ISNUMBER(R65)),ROUND(R65-Q65,2),"")</f>
        <v/>
      </c>
      <c r="AD65" s="19" t="str">
        <f aca="false">IF(AND(ISNUMBER(AB65),ISNUMBER(Z65)),AB65-Z65,"")</f>
        <v/>
      </c>
      <c r="AE65" s="19"/>
      <c r="AF65" s="19"/>
      <c r="AG65" s="22"/>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4"/>
      <c r="BH65" s="23"/>
      <c r="BI65" s="23"/>
      <c r="BJ65" s="19"/>
      <c r="BK65" s="19"/>
      <c r="BL65" s="19"/>
      <c r="BM65" s="19"/>
      <c r="BN65" s="23"/>
      <c r="BO65" s="23"/>
      <c r="BP65" s="19"/>
      <c r="BQ65" s="19"/>
      <c r="BR65" s="19"/>
      <c r="BS65" s="23"/>
    </row>
    <row r="66" customFormat="false" ht="15" hidden="false" customHeight="false" outlineLevel="0" collapsed="false">
      <c r="A66" s="19"/>
      <c r="B66" s="19"/>
      <c r="C66" s="19"/>
      <c r="D66" s="19"/>
      <c r="E66" s="19"/>
      <c r="F66" s="19"/>
      <c r="G66" s="19"/>
      <c r="H66" s="20"/>
      <c r="I66" s="19"/>
      <c r="J66" s="19"/>
      <c r="K66" s="19"/>
      <c r="L66" s="21"/>
      <c r="M66" s="21"/>
      <c r="N66" s="21"/>
      <c r="O66" s="21"/>
      <c r="P66" s="21"/>
      <c r="Q66" s="21"/>
      <c r="R66" s="21"/>
      <c r="S66" s="19"/>
      <c r="T66" s="19"/>
      <c r="U66" s="19"/>
      <c r="V66" s="19"/>
      <c r="W66" s="19"/>
      <c r="X66" s="19"/>
      <c r="Y66" s="19"/>
      <c r="Z66" s="19"/>
      <c r="AA66" s="19"/>
      <c r="AB66" s="19" t="str">
        <f aca="false">IF(NOT(ISNUMBER(Q66)),"",IF(E66="organizer_case",IF(ISNUMBER(P66),ROUND((Q66-P66)*86400,0),""),IF(J66="ADVANCE",IF(ISNUMBER(O66),ROUND((Q66-MAX(O66,N66))*86400,0),""),IF(ISNUMBER(O66),ROUND((Q66-O66)*86400,0),""))))</f>
        <v/>
      </c>
      <c r="AC66" s="19" t="str">
        <f aca="false">IF(AND(ISNUMBER(Q66),ISNUMBER(R66)),ROUND(R66-Q66,2),"")</f>
        <v/>
      </c>
      <c r="AD66" s="19" t="str">
        <f aca="false">IF(AND(ISNUMBER(AB66),ISNUMBER(Z66)),AB66-Z66,"")</f>
        <v/>
      </c>
      <c r="AE66" s="19"/>
      <c r="AF66" s="19"/>
      <c r="AG66" s="22"/>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4"/>
      <c r="BH66" s="23"/>
      <c r="BI66" s="23"/>
      <c r="BJ66" s="19"/>
      <c r="BK66" s="19"/>
      <c r="BL66" s="19"/>
      <c r="BM66" s="19"/>
      <c r="BN66" s="23"/>
      <c r="BO66" s="23"/>
      <c r="BP66" s="19"/>
      <c r="BQ66" s="19"/>
      <c r="BR66" s="19"/>
      <c r="BS66" s="23"/>
    </row>
    <row r="67" customFormat="false" ht="15" hidden="false" customHeight="false" outlineLevel="0" collapsed="false">
      <c r="A67" s="19"/>
      <c r="B67" s="19"/>
      <c r="C67" s="19"/>
      <c r="D67" s="19"/>
      <c r="E67" s="19"/>
      <c r="F67" s="19"/>
      <c r="G67" s="19"/>
      <c r="H67" s="20"/>
      <c r="I67" s="19"/>
      <c r="J67" s="19"/>
      <c r="K67" s="19"/>
      <c r="L67" s="21"/>
      <c r="M67" s="21"/>
      <c r="N67" s="21"/>
      <c r="O67" s="21"/>
      <c r="P67" s="21"/>
      <c r="Q67" s="21"/>
      <c r="R67" s="21"/>
      <c r="S67" s="19"/>
      <c r="T67" s="19"/>
      <c r="U67" s="19"/>
      <c r="V67" s="19"/>
      <c r="W67" s="19"/>
      <c r="X67" s="19"/>
      <c r="Y67" s="19"/>
      <c r="Z67" s="19"/>
      <c r="AA67" s="19"/>
      <c r="AB67" s="19" t="str">
        <f aca="false">IF(NOT(ISNUMBER(Q67)),"",IF(E67="organizer_case",IF(ISNUMBER(P67),ROUND((Q67-P67)*86400,0),""),IF(J67="ADVANCE",IF(ISNUMBER(O67),ROUND((Q67-MAX(O67,N67))*86400,0),""),IF(ISNUMBER(O67),ROUND((Q67-O67)*86400,0),""))))</f>
        <v/>
      </c>
      <c r="AC67" s="19" t="str">
        <f aca="false">IF(AND(ISNUMBER(Q67),ISNUMBER(R67)),ROUND(R67-Q67,2),"")</f>
        <v/>
      </c>
      <c r="AD67" s="19" t="str">
        <f aca="false">IF(AND(ISNUMBER(AB67),ISNUMBER(Z67)),AB67-Z67,"")</f>
        <v/>
      </c>
      <c r="AE67" s="19"/>
      <c r="AF67" s="19"/>
      <c r="AG67" s="22"/>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4"/>
      <c r="BH67" s="23"/>
      <c r="BI67" s="23"/>
      <c r="BJ67" s="19"/>
      <c r="BK67" s="19"/>
      <c r="BL67" s="19"/>
      <c r="BM67" s="19"/>
      <c r="BN67" s="23"/>
      <c r="BO67" s="23"/>
      <c r="BP67" s="19"/>
      <c r="BQ67" s="19"/>
      <c r="BR67" s="19"/>
      <c r="BS67" s="23"/>
    </row>
    <row r="68" customFormat="false" ht="15" hidden="false" customHeight="false" outlineLevel="0" collapsed="false">
      <c r="A68" s="19"/>
      <c r="B68" s="19"/>
      <c r="C68" s="19"/>
      <c r="D68" s="19"/>
      <c r="E68" s="19"/>
      <c r="F68" s="19"/>
      <c r="G68" s="19"/>
      <c r="H68" s="20"/>
      <c r="I68" s="19"/>
      <c r="J68" s="19"/>
      <c r="K68" s="19"/>
      <c r="L68" s="21"/>
      <c r="M68" s="21"/>
      <c r="N68" s="21"/>
      <c r="O68" s="21"/>
      <c r="P68" s="21"/>
      <c r="Q68" s="21"/>
      <c r="R68" s="21"/>
      <c r="S68" s="19"/>
      <c r="T68" s="19"/>
      <c r="U68" s="19"/>
      <c r="V68" s="19"/>
      <c r="W68" s="19"/>
      <c r="X68" s="19"/>
      <c r="Y68" s="19"/>
      <c r="Z68" s="19"/>
      <c r="AA68" s="19"/>
      <c r="AB68" s="19" t="str">
        <f aca="false">IF(NOT(ISNUMBER(Q68)),"",IF(E68="organizer_case",IF(ISNUMBER(P68),ROUND((Q68-P68)*86400,0),""),IF(J68="ADVANCE",IF(ISNUMBER(O68),ROUND((Q68-MAX(O68,N68))*86400,0),""),IF(ISNUMBER(O68),ROUND((Q68-O68)*86400,0),""))))</f>
        <v/>
      </c>
      <c r="AC68" s="19" t="str">
        <f aca="false">IF(AND(ISNUMBER(Q68),ISNUMBER(R68)),ROUND(R68-Q68,2),"")</f>
        <v/>
      </c>
      <c r="AD68" s="19" t="str">
        <f aca="false">IF(AND(ISNUMBER(AB68),ISNUMBER(Z68)),AB68-Z68,"")</f>
        <v/>
      </c>
      <c r="AE68" s="19"/>
      <c r="AF68" s="19"/>
      <c r="AG68" s="22"/>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4"/>
      <c r="BH68" s="23"/>
      <c r="BI68" s="23"/>
      <c r="BJ68" s="19"/>
      <c r="BK68" s="19"/>
      <c r="BL68" s="19"/>
      <c r="BM68" s="19"/>
      <c r="BN68" s="23"/>
      <c r="BO68" s="23"/>
      <c r="BP68" s="19"/>
      <c r="BQ68" s="19"/>
      <c r="BR68" s="19"/>
      <c r="BS68" s="23"/>
    </row>
    <row r="69" customFormat="false" ht="15" hidden="false" customHeight="false" outlineLevel="0" collapsed="false">
      <c r="A69" s="19"/>
      <c r="B69" s="19"/>
      <c r="C69" s="19"/>
      <c r="D69" s="19"/>
      <c r="E69" s="19"/>
      <c r="F69" s="19"/>
      <c r="G69" s="19"/>
      <c r="H69" s="20"/>
      <c r="I69" s="19"/>
      <c r="J69" s="19"/>
      <c r="K69" s="19"/>
      <c r="L69" s="21"/>
      <c r="M69" s="21"/>
      <c r="N69" s="21"/>
      <c r="O69" s="21"/>
      <c r="P69" s="21"/>
      <c r="Q69" s="21"/>
      <c r="R69" s="21"/>
      <c r="S69" s="19"/>
      <c r="T69" s="19"/>
      <c r="U69" s="19"/>
      <c r="V69" s="19"/>
      <c r="W69" s="19"/>
      <c r="X69" s="19"/>
      <c r="Y69" s="19"/>
      <c r="Z69" s="19"/>
      <c r="AA69" s="19"/>
      <c r="AB69" s="19" t="str">
        <f aca="false">IF(NOT(ISNUMBER(Q69)),"",IF(E69="organizer_case",IF(ISNUMBER(P69),ROUND((Q69-P69)*86400,0),""),IF(J69="ADVANCE",IF(ISNUMBER(O69),ROUND((Q69-MAX(O69,N69))*86400,0),""),IF(ISNUMBER(O69),ROUND((Q69-O69)*86400,0),""))))</f>
        <v/>
      </c>
      <c r="AC69" s="19" t="str">
        <f aca="false">IF(AND(ISNUMBER(Q69),ISNUMBER(R69)),ROUND(R69-Q69,2),"")</f>
        <v/>
      </c>
      <c r="AD69" s="19" t="str">
        <f aca="false">IF(AND(ISNUMBER(AB69),ISNUMBER(Z69)),AB69-Z69,"")</f>
        <v/>
      </c>
      <c r="AE69" s="19"/>
      <c r="AF69" s="19"/>
      <c r="AG69" s="22"/>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4"/>
      <c r="BH69" s="23"/>
      <c r="BI69" s="23"/>
      <c r="BJ69" s="19"/>
      <c r="BK69" s="19"/>
      <c r="BL69" s="19"/>
      <c r="BM69" s="19"/>
      <c r="BN69" s="23"/>
      <c r="BO69" s="23"/>
      <c r="BP69" s="19"/>
      <c r="BQ69" s="19"/>
      <c r="BR69" s="19"/>
      <c r="BS69" s="23"/>
    </row>
    <row r="70" customFormat="false" ht="15" hidden="false" customHeight="false" outlineLevel="0" collapsed="false">
      <c r="A70" s="19"/>
      <c r="B70" s="19"/>
      <c r="C70" s="19"/>
      <c r="D70" s="19"/>
      <c r="E70" s="19"/>
      <c r="F70" s="19"/>
      <c r="G70" s="19"/>
      <c r="H70" s="20"/>
      <c r="I70" s="19"/>
      <c r="J70" s="19"/>
      <c r="K70" s="19"/>
      <c r="L70" s="21"/>
      <c r="M70" s="21"/>
      <c r="N70" s="21"/>
      <c r="O70" s="21"/>
      <c r="P70" s="21"/>
      <c r="Q70" s="21"/>
      <c r="R70" s="21"/>
      <c r="S70" s="19"/>
      <c r="T70" s="19"/>
      <c r="U70" s="19"/>
      <c r="V70" s="19"/>
      <c r="W70" s="19"/>
      <c r="X70" s="19"/>
      <c r="Y70" s="19"/>
      <c r="Z70" s="19"/>
      <c r="AA70" s="19"/>
      <c r="AB70" s="19" t="str">
        <f aca="false">IF(NOT(ISNUMBER(Q70)),"",IF(E70="organizer_case",IF(ISNUMBER(P70),ROUND((Q70-P70)*86400,0),""),IF(J70="ADVANCE",IF(ISNUMBER(O70),ROUND((Q70-MAX(O70,N70))*86400,0),""),IF(ISNUMBER(O70),ROUND((Q70-O70)*86400,0),""))))</f>
        <v/>
      </c>
      <c r="AC70" s="19" t="str">
        <f aca="false">IF(AND(ISNUMBER(Q70),ISNUMBER(R70)),ROUND(R70-Q70,2),"")</f>
        <v/>
      </c>
      <c r="AD70" s="19" t="str">
        <f aca="false">IF(AND(ISNUMBER(AB70),ISNUMBER(Z70)),AB70-Z70,"")</f>
        <v/>
      </c>
      <c r="AE70" s="19"/>
      <c r="AF70" s="19"/>
      <c r="AG70" s="22"/>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4"/>
      <c r="BH70" s="23"/>
      <c r="BI70" s="23"/>
      <c r="BJ70" s="19"/>
      <c r="BK70" s="19"/>
      <c r="BL70" s="19"/>
      <c r="BM70" s="19"/>
      <c r="BN70" s="23"/>
      <c r="BO70" s="23"/>
      <c r="BP70" s="19"/>
      <c r="BQ70" s="19"/>
      <c r="BR70" s="19"/>
      <c r="BS70" s="23"/>
    </row>
    <row r="71" customFormat="false" ht="15" hidden="false" customHeight="false" outlineLevel="0" collapsed="false">
      <c r="A71" s="19"/>
      <c r="B71" s="19"/>
      <c r="C71" s="19"/>
      <c r="D71" s="19"/>
      <c r="E71" s="19"/>
      <c r="F71" s="19"/>
      <c r="G71" s="19"/>
      <c r="H71" s="20"/>
      <c r="I71" s="19"/>
      <c r="J71" s="19"/>
      <c r="K71" s="19"/>
      <c r="L71" s="21"/>
      <c r="M71" s="21"/>
      <c r="N71" s="21"/>
      <c r="O71" s="21"/>
      <c r="P71" s="21"/>
      <c r="Q71" s="21"/>
      <c r="R71" s="21"/>
      <c r="S71" s="19"/>
      <c r="T71" s="19"/>
      <c r="U71" s="19"/>
      <c r="V71" s="19"/>
      <c r="W71" s="19"/>
      <c r="X71" s="19"/>
      <c r="Y71" s="19"/>
      <c r="Z71" s="19"/>
      <c r="AA71" s="19"/>
      <c r="AB71" s="19" t="str">
        <f aca="false">IF(NOT(ISNUMBER(Q71)),"",IF(E71="organizer_case",IF(ISNUMBER(P71),ROUND((Q71-P71)*86400,0),""),IF(J71="ADVANCE",IF(ISNUMBER(O71),ROUND((Q71-MAX(O71,N71))*86400,0),""),IF(ISNUMBER(O71),ROUND((Q71-O71)*86400,0),""))))</f>
        <v/>
      </c>
      <c r="AC71" s="19" t="str">
        <f aca="false">IF(AND(ISNUMBER(Q71),ISNUMBER(R71)),ROUND(R71-Q71,2),"")</f>
        <v/>
      </c>
      <c r="AD71" s="19" t="str">
        <f aca="false">IF(AND(ISNUMBER(AB71),ISNUMBER(Z71)),AB71-Z71,"")</f>
        <v/>
      </c>
      <c r="AE71" s="19"/>
      <c r="AF71" s="19"/>
      <c r="AG71" s="22"/>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4"/>
      <c r="BH71" s="23"/>
      <c r="BI71" s="23"/>
      <c r="BJ71" s="19"/>
      <c r="BK71" s="19"/>
      <c r="BL71" s="19"/>
      <c r="BM71" s="19"/>
      <c r="BN71" s="23"/>
      <c r="BO71" s="23"/>
      <c r="BP71" s="19"/>
      <c r="BQ71" s="19"/>
      <c r="BR71" s="19"/>
      <c r="BS71" s="23"/>
    </row>
    <row r="72" customFormat="false" ht="15" hidden="false" customHeight="false" outlineLevel="0" collapsed="false">
      <c r="A72" s="19"/>
      <c r="B72" s="19"/>
      <c r="C72" s="19"/>
      <c r="D72" s="19"/>
      <c r="E72" s="19"/>
      <c r="F72" s="19"/>
      <c r="G72" s="19"/>
      <c r="H72" s="20"/>
      <c r="I72" s="19"/>
      <c r="J72" s="19"/>
      <c r="K72" s="19"/>
      <c r="L72" s="21"/>
      <c r="M72" s="21"/>
      <c r="N72" s="21"/>
      <c r="O72" s="21"/>
      <c r="P72" s="21"/>
      <c r="Q72" s="21"/>
      <c r="R72" s="21"/>
      <c r="S72" s="19"/>
      <c r="T72" s="19"/>
      <c r="U72" s="19"/>
      <c r="V72" s="19"/>
      <c r="W72" s="19"/>
      <c r="X72" s="19"/>
      <c r="Y72" s="19"/>
      <c r="Z72" s="19"/>
      <c r="AA72" s="19"/>
      <c r="AB72" s="19" t="str">
        <f aca="false">IF(NOT(ISNUMBER(Q72)),"",IF(E72="organizer_case",IF(ISNUMBER(P72),ROUND((Q72-P72)*86400,0),""),IF(J72="ADVANCE",IF(ISNUMBER(O72),ROUND((Q72-MAX(O72,N72))*86400,0),""),IF(ISNUMBER(O72),ROUND((Q72-O72)*86400,0),""))))</f>
        <v/>
      </c>
      <c r="AC72" s="19" t="str">
        <f aca="false">IF(AND(ISNUMBER(Q72),ISNUMBER(R72)),ROUND(R72-Q72,2),"")</f>
        <v/>
      </c>
      <c r="AD72" s="19" t="str">
        <f aca="false">IF(AND(ISNUMBER(AB72),ISNUMBER(Z72)),AB72-Z72,"")</f>
        <v/>
      </c>
      <c r="AE72" s="19"/>
      <c r="AF72" s="19"/>
      <c r="AG72" s="22"/>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4"/>
      <c r="BH72" s="23"/>
      <c r="BI72" s="23"/>
      <c r="BJ72" s="19"/>
      <c r="BK72" s="19"/>
      <c r="BL72" s="19"/>
      <c r="BM72" s="19"/>
      <c r="BN72" s="23"/>
      <c r="BO72" s="23"/>
      <c r="BP72" s="19"/>
      <c r="BQ72" s="19"/>
      <c r="BR72" s="19"/>
      <c r="BS72" s="23"/>
    </row>
    <row r="73" customFormat="false" ht="15" hidden="false" customHeight="false" outlineLevel="0" collapsed="false">
      <c r="A73" s="19"/>
      <c r="B73" s="19"/>
      <c r="C73" s="19"/>
      <c r="D73" s="19"/>
      <c r="E73" s="19"/>
      <c r="F73" s="19"/>
      <c r="G73" s="19"/>
      <c r="H73" s="20"/>
      <c r="I73" s="19"/>
      <c r="J73" s="19"/>
      <c r="K73" s="19"/>
      <c r="L73" s="21"/>
      <c r="M73" s="21"/>
      <c r="N73" s="21"/>
      <c r="O73" s="21"/>
      <c r="P73" s="21"/>
      <c r="Q73" s="21"/>
      <c r="R73" s="21"/>
      <c r="S73" s="19"/>
      <c r="T73" s="19"/>
      <c r="U73" s="19"/>
      <c r="V73" s="19"/>
      <c r="W73" s="19"/>
      <c r="X73" s="19"/>
      <c r="Y73" s="19"/>
      <c r="Z73" s="19"/>
      <c r="AA73" s="19"/>
      <c r="AB73" s="19" t="str">
        <f aca="false">IF(NOT(ISNUMBER(Q73)),"",IF(E73="organizer_case",IF(ISNUMBER(P73),ROUND((Q73-P73)*86400,0),""),IF(J73="ADVANCE",IF(ISNUMBER(O73),ROUND((Q73-MAX(O73,N73))*86400,0),""),IF(ISNUMBER(O73),ROUND((Q73-O73)*86400,0),""))))</f>
        <v/>
      </c>
      <c r="AC73" s="19" t="str">
        <f aca="false">IF(AND(ISNUMBER(Q73),ISNUMBER(R73)),ROUND(R73-Q73,2),"")</f>
        <v/>
      </c>
      <c r="AD73" s="19" t="str">
        <f aca="false">IF(AND(ISNUMBER(AB73),ISNUMBER(Z73)),AB73-Z73,"")</f>
        <v/>
      </c>
      <c r="AE73" s="19"/>
      <c r="AF73" s="19"/>
      <c r="AG73" s="22"/>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4"/>
      <c r="BH73" s="23"/>
      <c r="BI73" s="23"/>
      <c r="BJ73" s="19"/>
      <c r="BK73" s="19"/>
      <c r="BL73" s="19"/>
      <c r="BM73" s="19"/>
      <c r="BN73" s="23"/>
      <c r="BO73" s="23"/>
      <c r="BP73" s="19"/>
      <c r="BQ73" s="19"/>
      <c r="BR73" s="19"/>
      <c r="BS73" s="23"/>
    </row>
    <row r="74" customFormat="false" ht="15" hidden="false" customHeight="false" outlineLevel="0" collapsed="false">
      <c r="A74" s="19"/>
      <c r="B74" s="19"/>
      <c r="C74" s="19"/>
      <c r="D74" s="19"/>
      <c r="E74" s="19"/>
      <c r="F74" s="19"/>
      <c r="G74" s="19"/>
      <c r="H74" s="20"/>
      <c r="I74" s="19"/>
      <c r="J74" s="19"/>
      <c r="K74" s="19"/>
      <c r="L74" s="21"/>
      <c r="M74" s="21"/>
      <c r="N74" s="21"/>
      <c r="O74" s="21"/>
      <c r="P74" s="21"/>
      <c r="Q74" s="21"/>
      <c r="R74" s="21"/>
      <c r="S74" s="19"/>
      <c r="T74" s="19"/>
      <c r="U74" s="19"/>
      <c r="V74" s="19"/>
      <c r="W74" s="19"/>
      <c r="X74" s="19"/>
      <c r="Y74" s="19"/>
      <c r="Z74" s="19"/>
      <c r="AA74" s="19"/>
      <c r="AB74" s="19" t="str">
        <f aca="false">IF(NOT(ISNUMBER(Q74)),"",IF(E74="organizer_case",IF(ISNUMBER(P74),ROUND((Q74-P74)*86400,0),""),IF(J74="ADVANCE",IF(ISNUMBER(O74),ROUND((Q74-MAX(O74,N74))*86400,0),""),IF(ISNUMBER(O74),ROUND((Q74-O74)*86400,0),""))))</f>
        <v/>
      </c>
      <c r="AC74" s="19" t="str">
        <f aca="false">IF(AND(ISNUMBER(Q74),ISNUMBER(R74)),ROUND(R74-Q74,2),"")</f>
        <v/>
      </c>
      <c r="AD74" s="19" t="str">
        <f aca="false">IF(AND(ISNUMBER(AB74),ISNUMBER(Z74)),AB74-Z74,"")</f>
        <v/>
      </c>
      <c r="AE74" s="19"/>
      <c r="AF74" s="19"/>
      <c r="AG74" s="22"/>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4"/>
      <c r="BH74" s="23"/>
      <c r="BI74" s="23"/>
      <c r="BJ74" s="19"/>
      <c r="BK74" s="19"/>
      <c r="BL74" s="19"/>
      <c r="BM74" s="19"/>
      <c r="BN74" s="23"/>
      <c r="BO74" s="23"/>
      <c r="BP74" s="19"/>
      <c r="BQ74" s="19"/>
      <c r="BR74" s="19"/>
      <c r="BS74" s="23"/>
    </row>
    <row r="75" customFormat="false" ht="15" hidden="false" customHeight="false" outlineLevel="0" collapsed="false">
      <c r="A75" s="19"/>
      <c r="B75" s="19"/>
      <c r="C75" s="19"/>
      <c r="D75" s="19"/>
      <c r="E75" s="19"/>
      <c r="F75" s="19"/>
      <c r="G75" s="19"/>
      <c r="H75" s="20"/>
      <c r="I75" s="19"/>
      <c r="J75" s="19"/>
      <c r="K75" s="19"/>
      <c r="L75" s="21"/>
      <c r="M75" s="21"/>
      <c r="N75" s="21"/>
      <c r="O75" s="21"/>
      <c r="P75" s="21"/>
      <c r="Q75" s="21"/>
      <c r="R75" s="21"/>
      <c r="S75" s="19"/>
      <c r="T75" s="19"/>
      <c r="U75" s="19"/>
      <c r="V75" s="19"/>
      <c r="W75" s="19"/>
      <c r="X75" s="19"/>
      <c r="Y75" s="19"/>
      <c r="Z75" s="19"/>
      <c r="AA75" s="19"/>
      <c r="AB75" s="19" t="str">
        <f aca="false">IF(NOT(ISNUMBER(Q75)),"",IF(E75="organizer_case",IF(ISNUMBER(P75),ROUND((Q75-P75)*86400,0),""),IF(J75="ADVANCE",IF(ISNUMBER(O75),ROUND((Q75-MAX(O75,N75))*86400,0),""),IF(ISNUMBER(O75),ROUND((Q75-O75)*86400,0),""))))</f>
        <v/>
      </c>
      <c r="AC75" s="19" t="str">
        <f aca="false">IF(AND(ISNUMBER(Q75),ISNUMBER(R75)),ROUND(R75-Q75,2),"")</f>
        <v/>
      </c>
      <c r="AD75" s="19" t="str">
        <f aca="false">IF(AND(ISNUMBER(AB75),ISNUMBER(Z75)),AB75-Z75,"")</f>
        <v/>
      </c>
      <c r="AE75" s="19"/>
      <c r="AF75" s="19"/>
      <c r="AG75" s="22"/>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4"/>
      <c r="BH75" s="23"/>
      <c r="BI75" s="23"/>
      <c r="BJ75" s="19"/>
      <c r="BK75" s="19"/>
      <c r="BL75" s="19"/>
      <c r="BM75" s="19"/>
      <c r="BN75" s="23"/>
      <c r="BO75" s="23"/>
      <c r="BP75" s="19"/>
      <c r="BQ75" s="19"/>
      <c r="BR75" s="19"/>
      <c r="BS75" s="23"/>
    </row>
    <row r="76" customFormat="false" ht="15" hidden="false" customHeight="false" outlineLevel="0" collapsed="false">
      <c r="A76" s="19"/>
      <c r="B76" s="19"/>
      <c r="C76" s="19"/>
      <c r="D76" s="19"/>
      <c r="E76" s="19"/>
      <c r="F76" s="19"/>
      <c r="G76" s="19"/>
      <c r="H76" s="20"/>
      <c r="I76" s="19"/>
      <c r="J76" s="19"/>
      <c r="K76" s="19"/>
      <c r="L76" s="21"/>
      <c r="M76" s="21"/>
      <c r="N76" s="21"/>
      <c r="O76" s="21"/>
      <c r="P76" s="21"/>
      <c r="Q76" s="21"/>
      <c r="R76" s="21"/>
      <c r="S76" s="19"/>
      <c r="T76" s="19"/>
      <c r="U76" s="19"/>
      <c r="V76" s="19"/>
      <c r="W76" s="19"/>
      <c r="X76" s="19"/>
      <c r="Y76" s="19"/>
      <c r="Z76" s="19"/>
      <c r="AA76" s="19"/>
      <c r="AB76" s="19" t="str">
        <f aca="false">IF(NOT(ISNUMBER(Q76)),"",IF(E76="organizer_case",IF(ISNUMBER(P76),ROUND((Q76-P76)*86400,0),""),IF(J76="ADVANCE",IF(ISNUMBER(O76),ROUND((Q76-MAX(O76,N76))*86400,0),""),IF(ISNUMBER(O76),ROUND((Q76-O76)*86400,0),""))))</f>
        <v/>
      </c>
      <c r="AC76" s="19" t="str">
        <f aca="false">IF(AND(ISNUMBER(Q76),ISNUMBER(R76)),ROUND(R76-Q76,2),"")</f>
        <v/>
      </c>
      <c r="AD76" s="19" t="str">
        <f aca="false">IF(AND(ISNUMBER(AB76),ISNUMBER(Z76)),AB76-Z76,"")</f>
        <v/>
      </c>
      <c r="AE76" s="19"/>
      <c r="AF76" s="19"/>
      <c r="AG76" s="22"/>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4"/>
      <c r="BH76" s="23"/>
      <c r="BI76" s="23"/>
      <c r="BJ76" s="19"/>
      <c r="BK76" s="19"/>
      <c r="BL76" s="19"/>
      <c r="BM76" s="19"/>
      <c r="BN76" s="23"/>
      <c r="BO76" s="23"/>
      <c r="BP76" s="19"/>
      <c r="BQ76" s="19"/>
      <c r="BR76" s="19"/>
      <c r="BS76" s="23"/>
    </row>
    <row r="77" customFormat="false" ht="15" hidden="false" customHeight="false" outlineLevel="0" collapsed="false">
      <c r="A77" s="19"/>
      <c r="B77" s="19"/>
      <c r="C77" s="19"/>
      <c r="D77" s="19"/>
      <c r="E77" s="19"/>
      <c r="F77" s="19"/>
      <c r="G77" s="19"/>
      <c r="H77" s="20"/>
      <c r="I77" s="19"/>
      <c r="J77" s="19"/>
      <c r="K77" s="19"/>
      <c r="L77" s="21"/>
      <c r="M77" s="21"/>
      <c r="N77" s="21"/>
      <c r="O77" s="21"/>
      <c r="P77" s="21"/>
      <c r="Q77" s="21"/>
      <c r="R77" s="21"/>
      <c r="S77" s="19"/>
      <c r="T77" s="19"/>
      <c r="U77" s="19"/>
      <c r="V77" s="19"/>
      <c r="W77" s="19"/>
      <c r="X77" s="19"/>
      <c r="Y77" s="19"/>
      <c r="Z77" s="19"/>
      <c r="AA77" s="19"/>
      <c r="AB77" s="19" t="str">
        <f aca="false">IF(NOT(ISNUMBER(Q77)),"",IF(E77="organizer_case",IF(ISNUMBER(P77),ROUND((Q77-P77)*86400,0),""),IF(J77="ADVANCE",IF(ISNUMBER(O77),ROUND((Q77-MAX(O77,N77))*86400,0),""),IF(ISNUMBER(O77),ROUND((Q77-O77)*86400,0),""))))</f>
        <v/>
      </c>
      <c r="AC77" s="19" t="str">
        <f aca="false">IF(AND(ISNUMBER(Q77),ISNUMBER(R77)),ROUND(R77-Q77,2),"")</f>
        <v/>
      </c>
      <c r="AD77" s="19" t="str">
        <f aca="false">IF(AND(ISNUMBER(AB77),ISNUMBER(Z77)),AB77-Z77,"")</f>
        <v/>
      </c>
      <c r="AE77" s="19"/>
      <c r="AF77" s="19"/>
      <c r="AG77" s="22"/>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4"/>
      <c r="BH77" s="23"/>
      <c r="BI77" s="23"/>
      <c r="BJ77" s="19"/>
      <c r="BK77" s="19"/>
      <c r="BL77" s="19"/>
      <c r="BM77" s="19"/>
      <c r="BN77" s="23"/>
      <c r="BO77" s="23"/>
      <c r="BP77" s="19"/>
      <c r="BQ77" s="19"/>
      <c r="BR77" s="19"/>
      <c r="BS77" s="23"/>
    </row>
    <row r="78" customFormat="false" ht="15" hidden="false" customHeight="false" outlineLevel="0" collapsed="false">
      <c r="A78" s="19"/>
      <c r="B78" s="19"/>
      <c r="C78" s="19"/>
      <c r="D78" s="19"/>
      <c r="E78" s="19"/>
      <c r="F78" s="19"/>
      <c r="G78" s="19"/>
      <c r="H78" s="20"/>
      <c r="I78" s="19"/>
      <c r="J78" s="19"/>
      <c r="K78" s="19"/>
      <c r="L78" s="21"/>
      <c r="M78" s="21"/>
      <c r="N78" s="21"/>
      <c r="O78" s="21"/>
      <c r="P78" s="21"/>
      <c r="Q78" s="21"/>
      <c r="R78" s="21"/>
      <c r="S78" s="19"/>
      <c r="T78" s="19"/>
      <c r="U78" s="19"/>
      <c r="V78" s="19"/>
      <c r="W78" s="19"/>
      <c r="X78" s="19"/>
      <c r="Y78" s="19"/>
      <c r="Z78" s="19"/>
      <c r="AA78" s="19"/>
      <c r="AB78" s="19" t="str">
        <f aca="false">IF(NOT(ISNUMBER(Q78)),"",IF(E78="organizer_case",IF(ISNUMBER(P78),ROUND((Q78-P78)*86400,0),""),IF(J78="ADVANCE",IF(ISNUMBER(O78),ROUND((Q78-MAX(O78,N78))*86400,0),""),IF(ISNUMBER(O78),ROUND((Q78-O78)*86400,0),""))))</f>
        <v/>
      </c>
      <c r="AC78" s="19" t="str">
        <f aca="false">IF(AND(ISNUMBER(Q78),ISNUMBER(R78)),ROUND(R78-Q78,2),"")</f>
        <v/>
      </c>
      <c r="AD78" s="19" t="str">
        <f aca="false">IF(AND(ISNUMBER(AB78),ISNUMBER(Z78)),AB78-Z78,"")</f>
        <v/>
      </c>
      <c r="AE78" s="19"/>
      <c r="AF78" s="19"/>
      <c r="AG78" s="22"/>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4"/>
      <c r="BH78" s="23"/>
      <c r="BI78" s="23"/>
      <c r="BJ78" s="19"/>
      <c r="BK78" s="19"/>
      <c r="BL78" s="19"/>
      <c r="BM78" s="19"/>
      <c r="BN78" s="23"/>
      <c r="BO78" s="23"/>
      <c r="BP78" s="19"/>
      <c r="BQ78" s="19"/>
      <c r="BR78" s="19"/>
      <c r="BS78" s="23"/>
    </row>
    <row r="79" customFormat="false" ht="15" hidden="false" customHeight="false" outlineLevel="0" collapsed="false">
      <c r="A79" s="19"/>
      <c r="B79" s="19"/>
      <c r="C79" s="19"/>
      <c r="D79" s="19"/>
      <c r="E79" s="19"/>
      <c r="F79" s="19"/>
      <c r="G79" s="19"/>
      <c r="H79" s="20"/>
      <c r="I79" s="19"/>
      <c r="J79" s="19"/>
      <c r="K79" s="19"/>
      <c r="L79" s="21"/>
      <c r="M79" s="21"/>
      <c r="N79" s="21"/>
      <c r="O79" s="21"/>
      <c r="P79" s="21"/>
      <c r="Q79" s="21"/>
      <c r="R79" s="21"/>
      <c r="S79" s="19"/>
      <c r="T79" s="19"/>
      <c r="U79" s="19"/>
      <c r="V79" s="19"/>
      <c r="W79" s="19"/>
      <c r="X79" s="19"/>
      <c r="Y79" s="19"/>
      <c r="Z79" s="19"/>
      <c r="AA79" s="19"/>
      <c r="AB79" s="19" t="str">
        <f aca="false">IF(NOT(ISNUMBER(Q79)),"",IF(E79="organizer_case",IF(ISNUMBER(P79),ROUND((Q79-P79)*86400,0),""),IF(J79="ADVANCE",IF(ISNUMBER(O79),ROUND((Q79-MAX(O79,N79))*86400,0),""),IF(ISNUMBER(O79),ROUND((Q79-O79)*86400,0),""))))</f>
        <v/>
      </c>
      <c r="AC79" s="19" t="str">
        <f aca="false">IF(AND(ISNUMBER(Q79),ISNUMBER(R79)),ROUND(R79-Q79,2),"")</f>
        <v/>
      </c>
      <c r="AD79" s="19" t="str">
        <f aca="false">IF(AND(ISNUMBER(AB79),ISNUMBER(Z79)),AB79-Z79,"")</f>
        <v/>
      </c>
      <c r="AE79" s="19"/>
      <c r="AF79" s="19"/>
      <c r="AG79" s="22"/>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4"/>
      <c r="BH79" s="23"/>
      <c r="BI79" s="23"/>
      <c r="BJ79" s="19"/>
      <c r="BK79" s="19"/>
      <c r="BL79" s="19"/>
      <c r="BM79" s="19"/>
      <c r="BN79" s="23"/>
      <c r="BO79" s="23"/>
      <c r="BP79" s="19"/>
      <c r="BQ79" s="19"/>
      <c r="BR79" s="19"/>
      <c r="BS79" s="23"/>
    </row>
    <row r="80" customFormat="false" ht="15" hidden="false" customHeight="false" outlineLevel="0" collapsed="false">
      <c r="A80" s="19"/>
      <c r="B80" s="19"/>
      <c r="C80" s="19"/>
      <c r="D80" s="19"/>
      <c r="E80" s="19"/>
      <c r="F80" s="19"/>
      <c r="G80" s="19"/>
      <c r="H80" s="20"/>
      <c r="I80" s="19"/>
      <c r="J80" s="19"/>
      <c r="K80" s="19"/>
      <c r="L80" s="21"/>
      <c r="M80" s="21"/>
      <c r="N80" s="21"/>
      <c r="O80" s="21"/>
      <c r="P80" s="21"/>
      <c r="Q80" s="21"/>
      <c r="R80" s="21"/>
      <c r="S80" s="19"/>
      <c r="T80" s="19"/>
      <c r="U80" s="19"/>
      <c r="V80" s="19"/>
      <c r="W80" s="19"/>
      <c r="X80" s="19"/>
      <c r="Y80" s="19"/>
      <c r="Z80" s="19"/>
      <c r="AA80" s="19"/>
      <c r="AB80" s="19" t="str">
        <f aca="false">IF(NOT(ISNUMBER(Q80)),"",IF(E80="organizer_case",IF(ISNUMBER(P80),ROUND((Q80-P80)*86400,0),""),IF(J80="ADVANCE",IF(ISNUMBER(O80),ROUND((Q80-MAX(O80,N80))*86400,0),""),IF(ISNUMBER(O80),ROUND((Q80-O80)*86400,0),""))))</f>
        <v/>
      </c>
      <c r="AC80" s="19" t="str">
        <f aca="false">IF(AND(ISNUMBER(Q80),ISNUMBER(R80)),ROUND(R80-Q80,2),"")</f>
        <v/>
      </c>
      <c r="AD80" s="19" t="str">
        <f aca="false">IF(AND(ISNUMBER(AB80),ISNUMBER(Z80)),AB80-Z80,"")</f>
        <v/>
      </c>
      <c r="AE80" s="19"/>
      <c r="AF80" s="19"/>
      <c r="AG80" s="22"/>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4"/>
      <c r="BH80" s="23"/>
      <c r="BI80" s="23"/>
      <c r="BJ80" s="19"/>
      <c r="BK80" s="19"/>
      <c r="BL80" s="19"/>
      <c r="BM80" s="19"/>
      <c r="BN80" s="23"/>
      <c r="BO80" s="23"/>
      <c r="BP80" s="19"/>
      <c r="BQ80" s="19"/>
      <c r="BR80" s="19"/>
      <c r="BS80" s="23"/>
    </row>
    <row r="81" customFormat="false" ht="15" hidden="false" customHeight="false" outlineLevel="0" collapsed="false">
      <c r="A81" s="19"/>
      <c r="B81" s="19"/>
      <c r="C81" s="19"/>
      <c r="D81" s="19"/>
      <c r="E81" s="19"/>
      <c r="F81" s="19"/>
      <c r="G81" s="19"/>
      <c r="H81" s="20"/>
      <c r="I81" s="19"/>
      <c r="J81" s="19"/>
      <c r="K81" s="19"/>
      <c r="L81" s="21"/>
      <c r="M81" s="21"/>
      <c r="N81" s="21"/>
      <c r="O81" s="21"/>
      <c r="P81" s="21"/>
      <c r="Q81" s="21"/>
      <c r="R81" s="21"/>
      <c r="S81" s="19"/>
      <c r="T81" s="19"/>
      <c r="U81" s="19"/>
      <c r="V81" s="19"/>
      <c r="W81" s="19"/>
      <c r="X81" s="19"/>
      <c r="Y81" s="19"/>
      <c r="Z81" s="19"/>
      <c r="AA81" s="19"/>
      <c r="AB81" s="19" t="str">
        <f aca="false">IF(NOT(ISNUMBER(Q81)),"",IF(E81="organizer_case",IF(ISNUMBER(P81),ROUND((Q81-P81)*86400,0),""),IF(J81="ADVANCE",IF(ISNUMBER(O81),ROUND((Q81-MAX(O81,N81))*86400,0),""),IF(ISNUMBER(O81),ROUND((Q81-O81)*86400,0),""))))</f>
        <v/>
      </c>
      <c r="AC81" s="19" t="str">
        <f aca="false">IF(AND(ISNUMBER(Q81),ISNUMBER(R81)),ROUND(R81-Q81,2),"")</f>
        <v/>
      </c>
      <c r="AD81" s="19" t="str">
        <f aca="false">IF(AND(ISNUMBER(AB81),ISNUMBER(Z81)),AB81-Z81,"")</f>
        <v/>
      </c>
      <c r="AE81" s="19"/>
      <c r="AF81" s="19"/>
      <c r="AG81" s="22"/>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4"/>
      <c r="BH81" s="23"/>
      <c r="BI81" s="23"/>
      <c r="BJ81" s="19"/>
      <c r="BK81" s="19"/>
      <c r="BL81" s="19"/>
      <c r="BM81" s="19"/>
      <c r="BN81" s="23"/>
      <c r="BO81" s="23"/>
      <c r="BP81" s="19"/>
      <c r="BQ81" s="19"/>
      <c r="BR81" s="19"/>
      <c r="BS81" s="23"/>
    </row>
    <row r="82" customFormat="false" ht="15" hidden="false" customHeight="false" outlineLevel="0" collapsed="false">
      <c r="A82" s="19"/>
      <c r="B82" s="19"/>
      <c r="C82" s="19"/>
      <c r="D82" s="19"/>
      <c r="E82" s="19"/>
      <c r="F82" s="19"/>
      <c r="G82" s="19"/>
      <c r="H82" s="20"/>
      <c r="I82" s="19"/>
      <c r="J82" s="19"/>
      <c r="K82" s="19"/>
      <c r="L82" s="21"/>
      <c r="M82" s="21"/>
      <c r="N82" s="21"/>
      <c r="O82" s="21"/>
      <c r="P82" s="21"/>
      <c r="Q82" s="21"/>
      <c r="R82" s="21"/>
      <c r="S82" s="19"/>
      <c r="T82" s="19"/>
      <c r="U82" s="19"/>
      <c r="V82" s="19"/>
      <c r="W82" s="19"/>
      <c r="X82" s="19"/>
      <c r="Y82" s="19"/>
      <c r="Z82" s="19"/>
      <c r="AA82" s="19"/>
      <c r="AB82" s="19" t="str">
        <f aca="false">IF(NOT(ISNUMBER(Q82)),"",IF(E82="organizer_case",IF(ISNUMBER(P82),ROUND((Q82-P82)*86400,0),""),IF(J82="ADVANCE",IF(ISNUMBER(O82),ROUND((Q82-MAX(O82,N82))*86400,0),""),IF(ISNUMBER(O82),ROUND((Q82-O82)*86400,0),""))))</f>
        <v/>
      </c>
      <c r="AC82" s="19" t="str">
        <f aca="false">IF(AND(ISNUMBER(Q82),ISNUMBER(R82)),ROUND(R82-Q82,2),"")</f>
        <v/>
      </c>
      <c r="AD82" s="19" t="str">
        <f aca="false">IF(AND(ISNUMBER(AB82),ISNUMBER(Z82)),AB82-Z82,"")</f>
        <v/>
      </c>
      <c r="AE82" s="19"/>
      <c r="AF82" s="19"/>
      <c r="AG82" s="22"/>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4"/>
      <c r="BH82" s="23"/>
      <c r="BI82" s="23"/>
      <c r="BJ82" s="19"/>
      <c r="BK82" s="19"/>
      <c r="BL82" s="19"/>
      <c r="BM82" s="19"/>
      <c r="BN82" s="23"/>
      <c r="BO82" s="23"/>
      <c r="BP82" s="19"/>
      <c r="BQ82" s="19"/>
      <c r="BR82" s="19"/>
      <c r="BS82" s="23"/>
    </row>
    <row r="83" customFormat="false" ht="15" hidden="false" customHeight="false" outlineLevel="0" collapsed="false">
      <c r="A83" s="19"/>
      <c r="B83" s="19"/>
      <c r="C83" s="19"/>
      <c r="D83" s="19"/>
      <c r="E83" s="19"/>
      <c r="F83" s="19"/>
      <c r="G83" s="19"/>
      <c r="H83" s="20"/>
      <c r="I83" s="19"/>
      <c r="J83" s="19"/>
      <c r="K83" s="19"/>
      <c r="L83" s="21"/>
      <c r="M83" s="21"/>
      <c r="N83" s="21"/>
      <c r="O83" s="21"/>
      <c r="P83" s="21"/>
      <c r="Q83" s="21"/>
      <c r="R83" s="21"/>
      <c r="S83" s="19"/>
      <c r="T83" s="19"/>
      <c r="U83" s="19"/>
      <c r="V83" s="19"/>
      <c r="W83" s="19"/>
      <c r="X83" s="19"/>
      <c r="Y83" s="19"/>
      <c r="Z83" s="19"/>
      <c r="AA83" s="19"/>
      <c r="AB83" s="19" t="str">
        <f aca="false">IF(NOT(ISNUMBER(Q83)),"",IF(E83="organizer_case",IF(ISNUMBER(P83),ROUND((Q83-P83)*86400,0),""),IF(J83="ADVANCE",IF(ISNUMBER(O83),ROUND((Q83-MAX(O83,N83))*86400,0),""),IF(ISNUMBER(O83),ROUND((Q83-O83)*86400,0),""))))</f>
        <v/>
      </c>
      <c r="AC83" s="19" t="str">
        <f aca="false">IF(AND(ISNUMBER(Q83),ISNUMBER(R83)),ROUND(R83-Q83,2),"")</f>
        <v/>
      </c>
      <c r="AD83" s="19" t="str">
        <f aca="false">IF(AND(ISNUMBER(AB83),ISNUMBER(Z83)),AB83-Z83,"")</f>
        <v/>
      </c>
      <c r="AE83" s="19"/>
      <c r="AF83" s="19"/>
      <c r="AG83" s="22"/>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4"/>
      <c r="BH83" s="23"/>
      <c r="BI83" s="23"/>
      <c r="BJ83" s="19"/>
      <c r="BK83" s="19"/>
      <c r="BL83" s="19"/>
      <c r="BM83" s="19"/>
      <c r="BN83" s="23"/>
      <c r="BO83" s="23"/>
      <c r="BP83" s="19"/>
      <c r="BQ83" s="19"/>
      <c r="BR83" s="19"/>
      <c r="BS83" s="23"/>
    </row>
    <row r="84" customFormat="false" ht="15" hidden="false" customHeight="false" outlineLevel="0" collapsed="false">
      <c r="A84" s="19"/>
      <c r="B84" s="19"/>
      <c r="C84" s="19"/>
      <c r="D84" s="19"/>
      <c r="E84" s="19"/>
      <c r="F84" s="19"/>
      <c r="G84" s="19"/>
      <c r="H84" s="20"/>
      <c r="I84" s="19"/>
      <c r="J84" s="19"/>
      <c r="K84" s="19"/>
      <c r="L84" s="21"/>
      <c r="M84" s="21"/>
      <c r="N84" s="21"/>
      <c r="O84" s="21"/>
      <c r="P84" s="21"/>
      <c r="Q84" s="21"/>
      <c r="R84" s="21"/>
      <c r="S84" s="19"/>
      <c r="T84" s="19"/>
      <c r="U84" s="19"/>
      <c r="V84" s="19"/>
      <c r="W84" s="19"/>
      <c r="X84" s="19"/>
      <c r="Y84" s="19"/>
      <c r="Z84" s="19"/>
      <c r="AA84" s="19"/>
      <c r="AB84" s="19" t="str">
        <f aca="false">IF(NOT(ISNUMBER(Q84)),"",IF(E84="organizer_case",IF(ISNUMBER(P84),ROUND((Q84-P84)*86400,0),""),IF(J84="ADVANCE",IF(ISNUMBER(O84),ROUND((Q84-MAX(O84,N84))*86400,0),""),IF(ISNUMBER(O84),ROUND((Q84-O84)*86400,0),""))))</f>
        <v/>
      </c>
      <c r="AC84" s="19" t="str">
        <f aca="false">IF(AND(ISNUMBER(Q84),ISNUMBER(R84)),ROUND(R84-Q84,2),"")</f>
        <v/>
      </c>
      <c r="AD84" s="19" t="str">
        <f aca="false">IF(AND(ISNUMBER(AB84),ISNUMBER(Z84)),AB84-Z84,"")</f>
        <v/>
      </c>
      <c r="AE84" s="19"/>
      <c r="AF84" s="19"/>
      <c r="AG84" s="22"/>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4"/>
      <c r="BH84" s="23"/>
      <c r="BI84" s="23"/>
      <c r="BJ84" s="19"/>
      <c r="BK84" s="19"/>
      <c r="BL84" s="19"/>
      <c r="BM84" s="19"/>
      <c r="BN84" s="23"/>
      <c r="BO84" s="23"/>
      <c r="BP84" s="19"/>
      <c r="BQ84" s="19"/>
      <c r="BR84" s="19"/>
      <c r="BS84" s="23"/>
    </row>
    <row r="85" customFormat="false" ht="15" hidden="false" customHeight="false" outlineLevel="0" collapsed="false">
      <c r="A85" s="19"/>
      <c r="B85" s="19"/>
      <c r="C85" s="19"/>
      <c r="D85" s="19"/>
      <c r="E85" s="19"/>
      <c r="F85" s="19"/>
      <c r="G85" s="19"/>
      <c r="H85" s="20"/>
      <c r="I85" s="19"/>
      <c r="J85" s="19"/>
      <c r="K85" s="19"/>
      <c r="L85" s="21"/>
      <c r="M85" s="21"/>
      <c r="N85" s="21"/>
      <c r="O85" s="21"/>
      <c r="P85" s="21"/>
      <c r="Q85" s="21"/>
      <c r="R85" s="21"/>
      <c r="S85" s="19"/>
      <c r="T85" s="19"/>
      <c r="U85" s="19"/>
      <c r="V85" s="19"/>
      <c r="W85" s="19"/>
      <c r="X85" s="19"/>
      <c r="Y85" s="19"/>
      <c r="Z85" s="19"/>
      <c r="AA85" s="19"/>
      <c r="AB85" s="19" t="str">
        <f aca="false">IF(NOT(ISNUMBER(Q85)),"",IF(E85="organizer_case",IF(ISNUMBER(P85),ROUND((Q85-P85)*86400,0),""),IF(J85="ADVANCE",IF(ISNUMBER(O85),ROUND((Q85-MAX(O85,N85))*86400,0),""),IF(ISNUMBER(O85),ROUND((Q85-O85)*86400,0),""))))</f>
        <v/>
      </c>
      <c r="AC85" s="19" t="str">
        <f aca="false">IF(AND(ISNUMBER(Q85),ISNUMBER(R85)),ROUND(R85-Q85,2),"")</f>
        <v/>
      </c>
      <c r="AD85" s="19" t="str">
        <f aca="false">IF(AND(ISNUMBER(AB85),ISNUMBER(Z85)),AB85-Z85,"")</f>
        <v/>
      </c>
      <c r="AE85" s="19"/>
      <c r="AF85" s="19"/>
      <c r="AG85" s="22"/>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4"/>
      <c r="BH85" s="23"/>
      <c r="BI85" s="23"/>
      <c r="BJ85" s="19"/>
      <c r="BK85" s="19"/>
      <c r="BL85" s="19"/>
      <c r="BM85" s="19"/>
      <c r="BN85" s="23"/>
      <c r="BO85" s="23"/>
      <c r="BP85" s="19"/>
      <c r="BQ85" s="19"/>
      <c r="BR85" s="19"/>
      <c r="BS85" s="23"/>
    </row>
    <row r="86" customFormat="false" ht="15" hidden="false" customHeight="false" outlineLevel="0" collapsed="false">
      <c r="A86" s="19"/>
      <c r="B86" s="19"/>
      <c r="C86" s="19"/>
      <c r="D86" s="19"/>
      <c r="E86" s="19"/>
      <c r="F86" s="19"/>
      <c r="G86" s="19"/>
      <c r="H86" s="20"/>
      <c r="I86" s="19"/>
      <c r="J86" s="19"/>
      <c r="K86" s="19"/>
      <c r="L86" s="21"/>
      <c r="M86" s="21"/>
      <c r="N86" s="21"/>
      <c r="O86" s="21"/>
      <c r="P86" s="21"/>
      <c r="Q86" s="21"/>
      <c r="R86" s="21"/>
      <c r="S86" s="19"/>
      <c r="T86" s="19"/>
      <c r="U86" s="19"/>
      <c r="V86" s="19"/>
      <c r="W86" s="19"/>
      <c r="X86" s="19"/>
      <c r="Y86" s="19"/>
      <c r="Z86" s="19"/>
      <c r="AA86" s="19"/>
      <c r="AB86" s="19" t="str">
        <f aca="false">IF(NOT(ISNUMBER(Q86)),"",IF(E86="organizer_case",IF(ISNUMBER(P86),ROUND((Q86-P86)*86400,0),""),IF(J86="ADVANCE",IF(ISNUMBER(O86),ROUND((Q86-MAX(O86,N86))*86400,0),""),IF(ISNUMBER(O86),ROUND((Q86-O86)*86400,0),""))))</f>
        <v/>
      </c>
      <c r="AC86" s="19" t="str">
        <f aca="false">IF(AND(ISNUMBER(Q86),ISNUMBER(R86)),ROUND(R86-Q86,2),"")</f>
        <v/>
      </c>
      <c r="AD86" s="19" t="str">
        <f aca="false">IF(AND(ISNUMBER(AB86),ISNUMBER(Z86)),AB86-Z86,"")</f>
        <v/>
      </c>
      <c r="AE86" s="19"/>
      <c r="AF86" s="19"/>
      <c r="AG86" s="22"/>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4"/>
      <c r="BH86" s="23"/>
      <c r="BI86" s="23"/>
      <c r="BJ86" s="19"/>
      <c r="BK86" s="19"/>
      <c r="BL86" s="19"/>
      <c r="BM86" s="19"/>
      <c r="BN86" s="23"/>
      <c r="BO86" s="23"/>
      <c r="BP86" s="19"/>
      <c r="BQ86" s="19"/>
      <c r="BR86" s="19"/>
      <c r="BS86" s="23"/>
    </row>
    <row r="87" customFormat="false" ht="15" hidden="false" customHeight="false" outlineLevel="0" collapsed="false">
      <c r="A87" s="19"/>
      <c r="B87" s="19"/>
      <c r="C87" s="19"/>
      <c r="D87" s="19"/>
      <c r="E87" s="19"/>
      <c r="F87" s="19"/>
      <c r="G87" s="19"/>
      <c r="H87" s="20"/>
      <c r="I87" s="19"/>
      <c r="J87" s="19"/>
      <c r="K87" s="19"/>
      <c r="L87" s="21"/>
      <c r="M87" s="21"/>
      <c r="N87" s="21"/>
      <c r="O87" s="21"/>
      <c r="P87" s="21"/>
      <c r="Q87" s="21"/>
      <c r="R87" s="21"/>
      <c r="S87" s="19"/>
      <c r="T87" s="19"/>
      <c r="U87" s="19"/>
      <c r="V87" s="19"/>
      <c r="W87" s="19"/>
      <c r="X87" s="19"/>
      <c r="Y87" s="19"/>
      <c r="Z87" s="19"/>
      <c r="AA87" s="19"/>
      <c r="AB87" s="19" t="str">
        <f aca="false">IF(NOT(ISNUMBER(Q87)),"",IF(E87="organizer_case",IF(ISNUMBER(P87),ROUND((Q87-P87)*86400,0),""),IF(J87="ADVANCE",IF(ISNUMBER(O87),ROUND((Q87-MAX(O87,N87))*86400,0),""),IF(ISNUMBER(O87),ROUND((Q87-O87)*86400,0),""))))</f>
        <v/>
      </c>
      <c r="AC87" s="19" t="str">
        <f aca="false">IF(AND(ISNUMBER(Q87),ISNUMBER(R87)),ROUND(R87-Q87,2),"")</f>
        <v/>
      </c>
      <c r="AD87" s="19" t="str">
        <f aca="false">IF(AND(ISNUMBER(AB87),ISNUMBER(Z87)),AB87-Z87,"")</f>
        <v/>
      </c>
      <c r="AE87" s="19"/>
      <c r="AF87" s="19"/>
      <c r="AG87" s="22"/>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4"/>
      <c r="BH87" s="23"/>
      <c r="BI87" s="23"/>
      <c r="BJ87" s="19"/>
      <c r="BK87" s="19"/>
      <c r="BL87" s="19"/>
      <c r="BM87" s="19"/>
      <c r="BN87" s="23"/>
      <c r="BO87" s="23"/>
      <c r="BP87" s="19"/>
      <c r="BQ87" s="19"/>
      <c r="BR87" s="19"/>
      <c r="BS87" s="23"/>
    </row>
    <row r="88" customFormat="false" ht="15" hidden="false" customHeight="false" outlineLevel="0" collapsed="false">
      <c r="A88" s="19"/>
      <c r="B88" s="19"/>
      <c r="C88" s="19"/>
      <c r="D88" s="19"/>
      <c r="E88" s="19"/>
      <c r="F88" s="19"/>
      <c r="G88" s="19"/>
      <c r="H88" s="20"/>
      <c r="I88" s="19"/>
      <c r="J88" s="19"/>
      <c r="K88" s="19"/>
      <c r="L88" s="21"/>
      <c r="M88" s="21"/>
      <c r="N88" s="21"/>
      <c r="O88" s="21"/>
      <c r="P88" s="21"/>
      <c r="Q88" s="21"/>
      <c r="R88" s="21"/>
      <c r="S88" s="19"/>
      <c r="T88" s="19"/>
      <c r="U88" s="19"/>
      <c r="V88" s="19"/>
      <c r="W88" s="19"/>
      <c r="X88" s="19"/>
      <c r="Y88" s="19"/>
      <c r="Z88" s="19"/>
      <c r="AA88" s="19"/>
      <c r="AB88" s="19" t="str">
        <f aca="false">IF(NOT(ISNUMBER(Q88)),"",IF(E88="organizer_case",IF(ISNUMBER(P88),ROUND((Q88-P88)*86400,0),""),IF(J88="ADVANCE",IF(ISNUMBER(O88),ROUND((Q88-MAX(O88,N88))*86400,0),""),IF(ISNUMBER(O88),ROUND((Q88-O88)*86400,0),""))))</f>
        <v/>
      </c>
      <c r="AC88" s="19" t="str">
        <f aca="false">IF(AND(ISNUMBER(Q88),ISNUMBER(R88)),ROUND(R88-Q88,2),"")</f>
        <v/>
      </c>
      <c r="AD88" s="19" t="str">
        <f aca="false">IF(AND(ISNUMBER(AB88),ISNUMBER(Z88)),AB88-Z88,"")</f>
        <v/>
      </c>
      <c r="AE88" s="19"/>
      <c r="AF88" s="19"/>
      <c r="AG88" s="22"/>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4"/>
      <c r="BH88" s="23"/>
      <c r="BI88" s="23"/>
      <c r="BJ88" s="19"/>
      <c r="BK88" s="19"/>
      <c r="BL88" s="19"/>
      <c r="BM88" s="19"/>
      <c r="BN88" s="23"/>
      <c r="BO88" s="23"/>
      <c r="BP88" s="19"/>
      <c r="BQ88" s="19"/>
      <c r="BR88" s="19"/>
      <c r="BS88" s="23"/>
    </row>
    <row r="89" customFormat="false" ht="15" hidden="false" customHeight="false" outlineLevel="0" collapsed="false">
      <c r="A89" s="19"/>
      <c r="B89" s="19"/>
      <c r="C89" s="19"/>
      <c r="D89" s="19"/>
      <c r="E89" s="19"/>
      <c r="F89" s="19"/>
      <c r="G89" s="19"/>
      <c r="H89" s="20"/>
      <c r="I89" s="19"/>
      <c r="J89" s="19"/>
      <c r="K89" s="19"/>
      <c r="L89" s="21"/>
      <c r="M89" s="21"/>
      <c r="N89" s="21"/>
      <c r="O89" s="21"/>
      <c r="P89" s="21"/>
      <c r="Q89" s="21"/>
      <c r="R89" s="21"/>
      <c r="S89" s="19"/>
      <c r="T89" s="19"/>
      <c r="U89" s="19"/>
      <c r="V89" s="19"/>
      <c r="W89" s="19"/>
      <c r="X89" s="19"/>
      <c r="Y89" s="19"/>
      <c r="Z89" s="19"/>
      <c r="AA89" s="19"/>
      <c r="AB89" s="19" t="str">
        <f aca="false">IF(NOT(ISNUMBER(Q89)),"",IF(E89="organizer_case",IF(ISNUMBER(P89),ROUND((Q89-P89)*86400,0),""),IF(J89="ADVANCE",IF(ISNUMBER(O89),ROUND((Q89-MAX(O89,N89))*86400,0),""),IF(ISNUMBER(O89),ROUND((Q89-O89)*86400,0),""))))</f>
        <v/>
      </c>
      <c r="AC89" s="19" t="str">
        <f aca="false">IF(AND(ISNUMBER(Q89),ISNUMBER(R89)),ROUND(R89-Q89,2),"")</f>
        <v/>
      </c>
      <c r="AD89" s="19" t="str">
        <f aca="false">IF(AND(ISNUMBER(AB89),ISNUMBER(Z89)),AB89-Z89,"")</f>
        <v/>
      </c>
      <c r="AE89" s="19"/>
      <c r="AF89" s="19"/>
      <c r="AG89" s="22"/>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4"/>
      <c r="BH89" s="23"/>
      <c r="BI89" s="23"/>
      <c r="BJ89" s="19"/>
      <c r="BK89" s="19"/>
      <c r="BL89" s="19"/>
      <c r="BM89" s="19"/>
      <c r="BN89" s="23"/>
      <c r="BO89" s="23"/>
      <c r="BP89" s="19"/>
      <c r="BQ89" s="19"/>
      <c r="BR89" s="19"/>
      <c r="BS89" s="23"/>
    </row>
    <row r="90" customFormat="false" ht="15" hidden="false" customHeight="false" outlineLevel="0" collapsed="false">
      <c r="A90" s="19"/>
      <c r="B90" s="19"/>
      <c r="C90" s="19"/>
      <c r="D90" s="19"/>
      <c r="E90" s="19"/>
      <c r="F90" s="19"/>
      <c r="G90" s="19"/>
      <c r="H90" s="20"/>
      <c r="I90" s="19"/>
      <c r="J90" s="19"/>
      <c r="K90" s="19"/>
      <c r="L90" s="21"/>
      <c r="M90" s="21"/>
      <c r="N90" s="21"/>
      <c r="O90" s="21"/>
      <c r="P90" s="21"/>
      <c r="Q90" s="21"/>
      <c r="R90" s="21"/>
      <c r="S90" s="19"/>
      <c r="T90" s="19"/>
      <c r="U90" s="19"/>
      <c r="V90" s="19"/>
      <c r="W90" s="19"/>
      <c r="X90" s="19"/>
      <c r="Y90" s="19"/>
      <c r="Z90" s="19"/>
      <c r="AA90" s="19"/>
      <c r="AB90" s="19" t="str">
        <f aca="false">IF(NOT(ISNUMBER(Q90)),"",IF(E90="organizer_case",IF(ISNUMBER(P90),ROUND((Q90-P90)*86400,0),""),IF(J90="ADVANCE",IF(ISNUMBER(O90),ROUND((Q90-MAX(O90,N90))*86400,0),""),IF(ISNUMBER(O90),ROUND((Q90-O90)*86400,0),""))))</f>
        <v/>
      </c>
      <c r="AC90" s="19" t="str">
        <f aca="false">IF(AND(ISNUMBER(Q90),ISNUMBER(R90)),ROUND(R90-Q90,2),"")</f>
        <v/>
      </c>
      <c r="AD90" s="19" t="str">
        <f aca="false">IF(AND(ISNUMBER(AB90),ISNUMBER(Z90)),AB90-Z90,"")</f>
        <v/>
      </c>
      <c r="AE90" s="19"/>
      <c r="AF90" s="19"/>
      <c r="AG90" s="22"/>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4"/>
      <c r="BH90" s="23"/>
      <c r="BI90" s="23"/>
      <c r="BJ90" s="19"/>
      <c r="BK90" s="19"/>
      <c r="BL90" s="19"/>
      <c r="BM90" s="19"/>
      <c r="BN90" s="23"/>
      <c r="BO90" s="23"/>
      <c r="BP90" s="19"/>
      <c r="BQ90" s="19"/>
      <c r="BR90" s="19"/>
      <c r="BS90" s="23"/>
    </row>
    <row r="91" customFormat="false" ht="15" hidden="false" customHeight="false" outlineLevel="0" collapsed="false">
      <c r="A91" s="19"/>
      <c r="B91" s="19"/>
      <c r="C91" s="19"/>
      <c r="D91" s="19"/>
      <c r="E91" s="19"/>
      <c r="F91" s="19"/>
      <c r="G91" s="19"/>
      <c r="H91" s="20"/>
      <c r="I91" s="19"/>
      <c r="J91" s="19"/>
      <c r="K91" s="19"/>
      <c r="L91" s="21"/>
      <c r="M91" s="21"/>
      <c r="N91" s="21"/>
      <c r="O91" s="21"/>
      <c r="P91" s="21"/>
      <c r="Q91" s="21"/>
      <c r="R91" s="21"/>
      <c r="S91" s="19"/>
      <c r="T91" s="19"/>
      <c r="U91" s="19"/>
      <c r="V91" s="19"/>
      <c r="W91" s="19"/>
      <c r="X91" s="19"/>
      <c r="Y91" s="19"/>
      <c r="Z91" s="19"/>
      <c r="AA91" s="19"/>
      <c r="AB91" s="19" t="str">
        <f aca="false">IF(NOT(ISNUMBER(Q91)),"",IF(E91="organizer_case",IF(ISNUMBER(P91),ROUND((Q91-P91)*86400,0),""),IF(J91="ADVANCE",IF(ISNUMBER(O91),ROUND((Q91-MAX(O91,N91))*86400,0),""),IF(ISNUMBER(O91),ROUND((Q91-O91)*86400,0),""))))</f>
        <v/>
      </c>
      <c r="AC91" s="19" t="str">
        <f aca="false">IF(AND(ISNUMBER(Q91),ISNUMBER(R91)),ROUND(R91-Q91,2),"")</f>
        <v/>
      </c>
      <c r="AD91" s="19" t="str">
        <f aca="false">IF(AND(ISNUMBER(AB91),ISNUMBER(Z91)),AB91-Z91,"")</f>
        <v/>
      </c>
      <c r="AE91" s="19"/>
      <c r="AF91" s="19"/>
      <c r="AG91" s="22"/>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4"/>
      <c r="BH91" s="23"/>
      <c r="BI91" s="23"/>
      <c r="BJ91" s="19"/>
      <c r="BK91" s="19"/>
      <c r="BL91" s="19"/>
      <c r="BM91" s="19"/>
      <c r="BN91" s="23"/>
      <c r="BO91" s="23"/>
      <c r="BP91" s="19"/>
      <c r="BQ91" s="19"/>
      <c r="BR91" s="19"/>
      <c r="BS91" s="23"/>
    </row>
    <row r="92" customFormat="false" ht="15" hidden="false" customHeight="false" outlineLevel="0" collapsed="false">
      <c r="A92" s="19"/>
      <c r="B92" s="19"/>
      <c r="C92" s="19"/>
      <c r="D92" s="19"/>
      <c r="E92" s="19"/>
      <c r="F92" s="19"/>
      <c r="G92" s="19"/>
      <c r="H92" s="20"/>
      <c r="I92" s="19"/>
      <c r="J92" s="19"/>
      <c r="K92" s="19"/>
      <c r="L92" s="21"/>
      <c r="M92" s="21"/>
      <c r="N92" s="21"/>
      <c r="O92" s="21"/>
      <c r="P92" s="21"/>
      <c r="Q92" s="21"/>
      <c r="R92" s="21"/>
      <c r="S92" s="19"/>
      <c r="T92" s="19"/>
      <c r="U92" s="19"/>
      <c r="V92" s="19"/>
      <c r="W92" s="19"/>
      <c r="X92" s="19"/>
      <c r="Y92" s="19"/>
      <c r="Z92" s="19"/>
      <c r="AA92" s="19"/>
      <c r="AB92" s="19" t="str">
        <f aca="false">IF(NOT(ISNUMBER(Q92)),"",IF(E92="organizer_case",IF(ISNUMBER(P92),ROUND((Q92-P92)*86400,0),""),IF(J92="ADVANCE",IF(ISNUMBER(O92),ROUND((Q92-MAX(O92,N92))*86400,0),""),IF(ISNUMBER(O92),ROUND((Q92-O92)*86400,0),""))))</f>
        <v/>
      </c>
      <c r="AC92" s="19" t="str">
        <f aca="false">IF(AND(ISNUMBER(Q92),ISNUMBER(R92)),ROUND(R92-Q92,2),"")</f>
        <v/>
      </c>
      <c r="AD92" s="19" t="str">
        <f aca="false">IF(AND(ISNUMBER(AB92),ISNUMBER(Z92)),AB92-Z92,"")</f>
        <v/>
      </c>
      <c r="AE92" s="19"/>
      <c r="AF92" s="19"/>
      <c r="AG92" s="22"/>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4"/>
      <c r="BH92" s="23"/>
      <c r="BI92" s="23"/>
      <c r="BJ92" s="19"/>
      <c r="BK92" s="19"/>
      <c r="BL92" s="19"/>
      <c r="BM92" s="19"/>
      <c r="BN92" s="23"/>
      <c r="BO92" s="23"/>
      <c r="BP92" s="19"/>
      <c r="BQ92" s="19"/>
      <c r="BR92" s="19"/>
      <c r="BS92" s="23"/>
    </row>
    <row r="93" customFormat="false" ht="15" hidden="false" customHeight="false" outlineLevel="0" collapsed="false">
      <c r="A93" s="19"/>
      <c r="B93" s="19"/>
      <c r="C93" s="19"/>
      <c r="D93" s="19"/>
      <c r="E93" s="19"/>
      <c r="F93" s="19"/>
      <c r="G93" s="19"/>
      <c r="H93" s="20"/>
      <c r="I93" s="19"/>
      <c r="J93" s="19"/>
      <c r="K93" s="19"/>
      <c r="L93" s="21"/>
      <c r="M93" s="21"/>
      <c r="N93" s="21"/>
      <c r="O93" s="21"/>
      <c r="P93" s="21"/>
      <c r="Q93" s="21"/>
      <c r="R93" s="21"/>
      <c r="S93" s="19"/>
      <c r="T93" s="19"/>
      <c r="U93" s="19"/>
      <c r="V93" s="19"/>
      <c r="W93" s="19"/>
      <c r="X93" s="19"/>
      <c r="Y93" s="19"/>
      <c r="Z93" s="19"/>
      <c r="AA93" s="19"/>
      <c r="AB93" s="19" t="str">
        <f aca="false">IF(NOT(ISNUMBER(Q93)),"",IF(E93="organizer_case",IF(ISNUMBER(P93),ROUND((Q93-P93)*86400,0),""),IF(J93="ADVANCE",IF(ISNUMBER(O93),ROUND((Q93-MAX(O93,N93))*86400,0),""),IF(ISNUMBER(O93),ROUND((Q93-O93)*86400,0),""))))</f>
        <v/>
      </c>
      <c r="AC93" s="19" t="str">
        <f aca="false">IF(AND(ISNUMBER(Q93),ISNUMBER(R93)),ROUND(R93-Q93,2),"")</f>
        <v/>
      </c>
      <c r="AD93" s="19" t="str">
        <f aca="false">IF(AND(ISNUMBER(AB93),ISNUMBER(Z93)),AB93-Z93,"")</f>
        <v/>
      </c>
      <c r="AE93" s="19"/>
      <c r="AF93" s="19"/>
      <c r="AG93" s="22"/>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4"/>
      <c r="BH93" s="23"/>
      <c r="BI93" s="23"/>
      <c r="BJ93" s="19"/>
      <c r="BK93" s="19"/>
      <c r="BL93" s="19"/>
      <c r="BM93" s="19"/>
      <c r="BN93" s="23"/>
      <c r="BO93" s="23"/>
      <c r="BP93" s="19"/>
      <c r="BQ93" s="19"/>
      <c r="BR93" s="19"/>
      <c r="BS93" s="23"/>
    </row>
    <row r="94" customFormat="false" ht="15" hidden="false" customHeight="false" outlineLevel="0" collapsed="false">
      <c r="A94" s="19"/>
      <c r="B94" s="19"/>
      <c r="C94" s="19"/>
      <c r="D94" s="19"/>
      <c r="E94" s="19"/>
      <c r="F94" s="19"/>
      <c r="G94" s="19"/>
      <c r="H94" s="20"/>
      <c r="I94" s="19"/>
      <c r="J94" s="19"/>
      <c r="K94" s="19"/>
      <c r="L94" s="21"/>
      <c r="M94" s="21"/>
      <c r="N94" s="21"/>
      <c r="O94" s="21"/>
      <c r="P94" s="21"/>
      <c r="Q94" s="21"/>
      <c r="R94" s="21"/>
      <c r="S94" s="19"/>
      <c r="T94" s="19"/>
      <c r="U94" s="19"/>
      <c r="V94" s="19"/>
      <c r="W94" s="19"/>
      <c r="X94" s="19"/>
      <c r="Y94" s="19"/>
      <c r="Z94" s="19"/>
      <c r="AA94" s="19"/>
      <c r="AB94" s="19" t="str">
        <f aca="false">IF(NOT(ISNUMBER(Q94)),"",IF(E94="organizer_case",IF(ISNUMBER(P94),ROUND((Q94-P94)*86400,0),""),IF(J94="ADVANCE",IF(ISNUMBER(O94),ROUND((Q94-MAX(O94,N94))*86400,0),""),IF(ISNUMBER(O94),ROUND((Q94-O94)*86400,0),""))))</f>
        <v/>
      </c>
      <c r="AC94" s="19" t="str">
        <f aca="false">IF(AND(ISNUMBER(Q94),ISNUMBER(R94)),ROUND(R94-Q94,2),"")</f>
        <v/>
      </c>
      <c r="AD94" s="19" t="str">
        <f aca="false">IF(AND(ISNUMBER(AB94),ISNUMBER(Z94)),AB94-Z94,"")</f>
        <v/>
      </c>
      <c r="AE94" s="19"/>
      <c r="AF94" s="19"/>
      <c r="AG94" s="22"/>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4"/>
      <c r="BH94" s="23"/>
      <c r="BI94" s="23"/>
      <c r="BJ94" s="19"/>
      <c r="BK94" s="19"/>
      <c r="BL94" s="19"/>
      <c r="BM94" s="19"/>
      <c r="BN94" s="23"/>
      <c r="BO94" s="23"/>
      <c r="BP94" s="19"/>
      <c r="BQ94" s="19"/>
      <c r="BR94" s="19"/>
      <c r="BS94" s="23"/>
    </row>
    <row r="95" customFormat="false" ht="15" hidden="false" customHeight="false" outlineLevel="0" collapsed="false">
      <c r="A95" s="19"/>
      <c r="B95" s="19"/>
      <c r="C95" s="19"/>
      <c r="D95" s="19"/>
      <c r="E95" s="19"/>
      <c r="F95" s="19"/>
      <c r="G95" s="19"/>
      <c r="H95" s="20"/>
      <c r="I95" s="19"/>
      <c r="J95" s="19"/>
      <c r="K95" s="19"/>
      <c r="L95" s="21"/>
      <c r="M95" s="21"/>
      <c r="N95" s="21"/>
      <c r="O95" s="21"/>
      <c r="P95" s="21"/>
      <c r="Q95" s="21"/>
      <c r="R95" s="21"/>
      <c r="S95" s="19"/>
      <c r="T95" s="19"/>
      <c r="U95" s="19"/>
      <c r="V95" s="19"/>
      <c r="W95" s="19"/>
      <c r="X95" s="19"/>
      <c r="Y95" s="19"/>
      <c r="Z95" s="19"/>
      <c r="AA95" s="19"/>
      <c r="AB95" s="19" t="str">
        <f aca="false">IF(NOT(ISNUMBER(Q95)),"",IF(E95="organizer_case",IF(ISNUMBER(P95),ROUND((Q95-P95)*86400,0),""),IF(J95="ADVANCE",IF(ISNUMBER(O95),ROUND((Q95-MAX(O95,N95))*86400,0),""),IF(ISNUMBER(O95),ROUND((Q95-O95)*86400,0),""))))</f>
        <v/>
      </c>
      <c r="AC95" s="19" t="str">
        <f aca="false">IF(AND(ISNUMBER(Q95),ISNUMBER(R95)),ROUND(R95-Q95,2),"")</f>
        <v/>
      </c>
      <c r="AD95" s="19" t="str">
        <f aca="false">IF(AND(ISNUMBER(AB95),ISNUMBER(Z95)),AB95-Z95,"")</f>
        <v/>
      </c>
      <c r="AE95" s="19"/>
      <c r="AF95" s="19"/>
      <c r="AG95" s="22"/>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4"/>
      <c r="BH95" s="23"/>
      <c r="BI95" s="23"/>
      <c r="BJ95" s="19"/>
      <c r="BK95" s="19"/>
      <c r="BL95" s="19"/>
      <c r="BM95" s="19"/>
      <c r="BN95" s="23"/>
      <c r="BO95" s="23"/>
      <c r="BP95" s="19"/>
      <c r="BQ95" s="19"/>
      <c r="BR95" s="19"/>
      <c r="BS95" s="23"/>
    </row>
    <row r="96" customFormat="false" ht="15" hidden="false" customHeight="false" outlineLevel="0" collapsed="false">
      <c r="A96" s="19"/>
      <c r="B96" s="19"/>
      <c r="C96" s="19"/>
      <c r="D96" s="19"/>
      <c r="E96" s="19"/>
      <c r="F96" s="19"/>
      <c r="G96" s="19"/>
      <c r="H96" s="20"/>
      <c r="I96" s="19"/>
      <c r="J96" s="19"/>
      <c r="K96" s="19"/>
      <c r="L96" s="21"/>
      <c r="M96" s="21"/>
      <c r="N96" s="21"/>
      <c r="O96" s="21"/>
      <c r="P96" s="21"/>
      <c r="Q96" s="21"/>
      <c r="R96" s="21"/>
      <c r="S96" s="19"/>
      <c r="T96" s="19"/>
      <c r="U96" s="19"/>
      <c r="V96" s="19"/>
      <c r="W96" s="19"/>
      <c r="X96" s="19"/>
      <c r="Y96" s="19"/>
      <c r="Z96" s="19"/>
      <c r="AA96" s="19"/>
      <c r="AB96" s="19" t="str">
        <f aca="false">IF(NOT(ISNUMBER(Q96)),"",IF(E96="organizer_case",IF(ISNUMBER(P96),ROUND((Q96-P96)*86400,0),""),IF(J96="ADVANCE",IF(ISNUMBER(O96),ROUND((Q96-MAX(O96,N96))*86400,0),""),IF(ISNUMBER(O96),ROUND((Q96-O96)*86400,0),""))))</f>
        <v/>
      </c>
      <c r="AC96" s="19" t="str">
        <f aca="false">IF(AND(ISNUMBER(Q96),ISNUMBER(R96)),ROUND(R96-Q96,2),"")</f>
        <v/>
      </c>
      <c r="AD96" s="19" t="str">
        <f aca="false">IF(AND(ISNUMBER(AB96),ISNUMBER(Z96)),AB96-Z96,"")</f>
        <v/>
      </c>
      <c r="AE96" s="19"/>
      <c r="AF96" s="19"/>
      <c r="AG96" s="22"/>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4"/>
      <c r="BH96" s="23"/>
      <c r="BI96" s="23"/>
      <c r="BJ96" s="19"/>
      <c r="BK96" s="19"/>
      <c r="BL96" s="19"/>
      <c r="BM96" s="19"/>
      <c r="BN96" s="23"/>
      <c r="BO96" s="23"/>
      <c r="BP96" s="19"/>
      <c r="BQ96" s="19"/>
      <c r="BR96" s="19"/>
      <c r="BS96" s="23"/>
    </row>
    <row r="97" customFormat="false" ht="15" hidden="false" customHeight="false" outlineLevel="0" collapsed="false">
      <c r="A97" s="19"/>
      <c r="B97" s="19"/>
      <c r="C97" s="19"/>
      <c r="D97" s="19"/>
      <c r="E97" s="19"/>
      <c r="F97" s="19"/>
      <c r="G97" s="19"/>
      <c r="H97" s="20"/>
      <c r="I97" s="19"/>
      <c r="J97" s="19"/>
      <c r="K97" s="19"/>
      <c r="L97" s="21"/>
      <c r="M97" s="21"/>
      <c r="N97" s="21"/>
      <c r="O97" s="21"/>
      <c r="P97" s="21"/>
      <c r="Q97" s="21"/>
      <c r="R97" s="21"/>
      <c r="S97" s="19"/>
      <c r="T97" s="19"/>
      <c r="U97" s="19"/>
      <c r="V97" s="19"/>
      <c r="W97" s="19"/>
      <c r="X97" s="19"/>
      <c r="Y97" s="19"/>
      <c r="Z97" s="19"/>
      <c r="AA97" s="19"/>
      <c r="AB97" s="19" t="str">
        <f aca="false">IF(NOT(ISNUMBER(Q97)),"",IF(E97="organizer_case",IF(ISNUMBER(P97),ROUND((Q97-P97)*86400,0),""),IF(J97="ADVANCE",IF(ISNUMBER(O97),ROUND((Q97-MAX(O97,N97))*86400,0),""),IF(ISNUMBER(O97),ROUND((Q97-O97)*86400,0),""))))</f>
        <v/>
      </c>
      <c r="AC97" s="19" t="str">
        <f aca="false">IF(AND(ISNUMBER(Q97),ISNUMBER(R97)),ROUND(R97-Q97,2),"")</f>
        <v/>
      </c>
      <c r="AD97" s="19" t="str">
        <f aca="false">IF(AND(ISNUMBER(AB97),ISNUMBER(Z97)),AB97-Z97,"")</f>
        <v/>
      </c>
      <c r="AE97" s="19"/>
      <c r="AF97" s="19"/>
      <c r="AG97" s="22"/>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4"/>
      <c r="BH97" s="23"/>
      <c r="BI97" s="23"/>
      <c r="BJ97" s="19"/>
      <c r="BK97" s="19"/>
      <c r="BL97" s="19"/>
      <c r="BM97" s="19"/>
      <c r="BN97" s="23"/>
      <c r="BO97" s="23"/>
      <c r="BP97" s="19"/>
      <c r="BQ97" s="19"/>
      <c r="BR97" s="19"/>
      <c r="BS97" s="23"/>
    </row>
    <row r="98" customFormat="false" ht="15" hidden="false" customHeight="false" outlineLevel="0" collapsed="false">
      <c r="A98" s="19"/>
      <c r="B98" s="19"/>
      <c r="C98" s="19"/>
      <c r="D98" s="19"/>
      <c r="E98" s="19"/>
      <c r="F98" s="19"/>
      <c r="G98" s="19"/>
      <c r="H98" s="20"/>
      <c r="I98" s="19"/>
      <c r="J98" s="19"/>
      <c r="K98" s="19"/>
      <c r="L98" s="21"/>
      <c r="M98" s="21"/>
      <c r="N98" s="21"/>
      <c r="O98" s="21"/>
      <c r="P98" s="21"/>
      <c r="Q98" s="21"/>
      <c r="R98" s="21"/>
      <c r="S98" s="19"/>
      <c r="T98" s="19"/>
      <c r="U98" s="19"/>
      <c r="V98" s="19"/>
      <c r="W98" s="19"/>
      <c r="X98" s="19"/>
      <c r="Y98" s="19"/>
      <c r="Z98" s="19"/>
      <c r="AA98" s="19"/>
      <c r="AB98" s="19" t="str">
        <f aca="false">IF(NOT(ISNUMBER(Q98)),"",IF(E98="organizer_case",IF(ISNUMBER(P98),ROUND((Q98-P98)*86400,0),""),IF(J98="ADVANCE",IF(ISNUMBER(O98),ROUND((Q98-MAX(O98,N98))*86400,0),""),IF(ISNUMBER(O98),ROUND((Q98-O98)*86400,0),""))))</f>
        <v/>
      </c>
      <c r="AC98" s="19" t="str">
        <f aca="false">IF(AND(ISNUMBER(Q98),ISNUMBER(R98)),ROUND(R98-Q98,2),"")</f>
        <v/>
      </c>
      <c r="AD98" s="19" t="str">
        <f aca="false">IF(AND(ISNUMBER(AB98),ISNUMBER(Z98)),AB98-Z98,"")</f>
        <v/>
      </c>
      <c r="AE98" s="19"/>
      <c r="AF98" s="19"/>
      <c r="AG98" s="22"/>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4"/>
      <c r="BH98" s="23"/>
      <c r="BI98" s="23"/>
      <c r="BJ98" s="19"/>
      <c r="BK98" s="19"/>
      <c r="BL98" s="19"/>
      <c r="BM98" s="19"/>
      <c r="BN98" s="23"/>
      <c r="BO98" s="23"/>
      <c r="BP98" s="19"/>
      <c r="BQ98" s="19"/>
      <c r="BR98" s="19"/>
      <c r="BS98" s="23"/>
    </row>
    <row r="99" customFormat="false" ht="15" hidden="false" customHeight="false" outlineLevel="0" collapsed="false">
      <c r="A99" s="19"/>
      <c r="B99" s="19"/>
      <c r="C99" s="19"/>
      <c r="D99" s="19"/>
      <c r="E99" s="19"/>
      <c r="F99" s="19"/>
      <c r="G99" s="19"/>
      <c r="H99" s="20"/>
      <c r="I99" s="19"/>
      <c r="J99" s="19"/>
      <c r="K99" s="19"/>
      <c r="L99" s="21"/>
      <c r="M99" s="21"/>
      <c r="N99" s="21"/>
      <c r="O99" s="21"/>
      <c r="P99" s="21"/>
      <c r="Q99" s="21"/>
      <c r="R99" s="21"/>
      <c r="S99" s="19"/>
      <c r="T99" s="19"/>
      <c r="U99" s="19"/>
      <c r="V99" s="19"/>
      <c r="W99" s="19"/>
      <c r="X99" s="19"/>
      <c r="Y99" s="19"/>
      <c r="Z99" s="19"/>
      <c r="AA99" s="19"/>
      <c r="AB99" s="19" t="str">
        <f aca="false">IF(NOT(ISNUMBER(Q99)),"",IF(E99="organizer_case",IF(ISNUMBER(P99),ROUND((Q99-P99)*86400,0),""),IF(J99="ADVANCE",IF(ISNUMBER(O99),ROUND((Q99-MAX(O99,N99))*86400,0),""),IF(ISNUMBER(O99),ROUND((Q99-O99)*86400,0),""))))</f>
        <v/>
      </c>
      <c r="AC99" s="19" t="str">
        <f aca="false">IF(AND(ISNUMBER(Q99),ISNUMBER(R99)),ROUND(R99-Q99,2),"")</f>
        <v/>
      </c>
      <c r="AD99" s="19" t="str">
        <f aca="false">IF(AND(ISNUMBER(AB99),ISNUMBER(Z99)),AB99-Z99,"")</f>
        <v/>
      </c>
      <c r="AE99" s="19"/>
      <c r="AF99" s="19"/>
      <c r="AG99" s="22"/>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4"/>
      <c r="BH99" s="23"/>
      <c r="BI99" s="23"/>
      <c r="BJ99" s="19"/>
      <c r="BK99" s="19"/>
      <c r="BL99" s="19"/>
      <c r="BM99" s="19"/>
      <c r="BN99" s="23"/>
      <c r="BO99" s="23"/>
      <c r="BP99" s="19"/>
      <c r="BQ99" s="19"/>
      <c r="BR99" s="19"/>
      <c r="BS99" s="23"/>
    </row>
    <row r="100" customFormat="false" ht="15" hidden="false" customHeight="false" outlineLevel="0" collapsed="false">
      <c r="A100" s="19"/>
      <c r="B100" s="19"/>
      <c r="C100" s="19"/>
      <c r="D100" s="19"/>
      <c r="E100" s="19"/>
      <c r="F100" s="19"/>
      <c r="G100" s="19"/>
      <c r="H100" s="20"/>
      <c r="I100" s="19"/>
      <c r="J100" s="19"/>
      <c r="K100" s="19"/>
      <c r="L100" s="21"/>
      <c r="M100" s="21"/>
      <c r="N100" s="21"/>
      <c r="O100" s="21"/>
      <c r="P100" s="21"/>
      <c r="Q100" s="21"/>
      <c r="R100" s="21"/>
      <c r="S100" s="19"/>
      <c r="T100" s="19"/>
      <c r="U100" s="19"/>
      <c r="V100" s="19"/>
      <c r="W100" s="19"/>
      <c r="X100" s="19"/>
      <c r="Y100" s="19"/>
      <c r="Z100" s="19"/>
      <c r="AA100" s="19"/>
      <c r="AB100" s="19" t="str">
        <f aca="false">IF(NOT(ISNUMBER(Q100)),"",IF(E100="organizer_case",IF(ISNUMBER(P100),ROUND((Q100-P100)*86400,0),""),IF(J100="ADVANCE",IF(ISNUMBER(O100),ROUND((Q100-MAX(O100,N100))*86400,0),""),IF(ISNUMBER(O100),ROUND((Q100-O100)*86400,0),""))))</f>
        <v/>
      </c>
      <c r="AC100" s="19" t="str">
        <f aca="false">IF(AND(ISNUMBER(Q100),ISNUMBER(R100)),ROUND(R100-Q100,2),"")</f>
        <v/>
      </c>
      <c r="AD100" s="19" t="str">
        <f aca="false">IF(AND(ISNUMBER(AB100),ISNUMBER(Z100)),AB100-Z100,"")</f>
        <v/>
      </c>
      <c r="AE100" s="19"/>
      <c r="AF100" s="19"/>
      <c r="AG100" s="22"/>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4"/>
      <c r="BH100" s="23"/>
      <c r="BI100" s="23"/>
      <c r="BJ100" s="19"/>
      <c r="BK100" s="19"/>
      <c r="BL100" s="19"/>
      <c r="BM100" s="19"/>
      <c r="BN100" s="23"/>
      <c r="BO100" s="23"/>
      <c r="BP100" s="19"/>
      <c r="BQ100" s="19"/>
      <c r="BR100" s="19"/>
      <c r="BS100" s="23"/>
    </row>
    <row r="101" customFormat="false" ht="15" hidden="false" customHeight="false" outlineLevel="0" collapsed="false">
      <c r="A101" s="19"/>
      <c r="B101" s="19"/>
      <c r="C101" s="19"/>
      <c r="D101" s="19"/>
      <c r="E101" s="19"/>
      <c r="F101" s="19"/>
      <c r="G101" s="19"/>
      <c r="H101" s="20"/>
      <c r="I101" s="19"/>
      <c r="J101" s="19"/>
      <c r="K101" s="19"/>
      <c r="L101" s="21"/>
      <c r="M101" s="21"/>
      <c r="N101" s="21"/>
      <c r="O101" s="21"/>
      <c r="P101" s="21"/>
      <c r="Q101" s="21"/>
      <c r="R101" s="21"/>
      <c r="S101" s="19"/>
      <c r="T101" s="19"/>
      <c r="U101" s="19"/>
      <c r="V101" s="19"/>
      <c r="W101" s="19"/>
      <c r="X101" s="19"/>
      <c r="Y101" s="19"/>
      <c r="Z101" s="19"/>
      <c r="AA101" s="19"/>
      <c r="AB101" s="19" t="str">
        <f aca="false">IF(NOT(ISNUMBER(Q101)),"",IF(E101="organizer_case",IF(ISNUMBER(P101),ROUND((Q101-P101)*86400,0),""),IF(J101="ADVANCE",IF(ISNUMBER(O101),ROUND((Q101-MAX(O101,N101))*86400,0),""),IF(ISNUMBER(O101),ROUND((Q101-O101)*86400,0),""))))</f>
        <v/>
      </c>
      <c r="AC101" s="19" t="str">
        <f aca="false">IF(AND(ISNUMBER(Q101),ISNUMBER(R101)),ROUND(R101-Q101,2),"")</f>
        <v/>
      </c>
      <c r="AD101" s="19" t="str">
        <f aca="false">IF(AND(ISNUMBER(AB101),ISNUMBER(Z101)),AB101-Z101,"")</f>
        <v/>
      </c>
      <c r="AE101" s="19"/>
      <c r="AF101" s="19"/>
      <c r="AG101" s="22"/>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4"/>
      <c r="BH101" s="23"/>
      <c r="BI101" s="23"/>
      <c r="BJ101" s="19"/>
      <c r="BK101" s="19"/>
      <c r="BL101" s="19"/>
      <c r="BM101" s="19"/>
      <c r="BN101" s="23"/>
      <c r="BO101" s="23"/>
      <c r="BP101" s="19"/>
      <c r="BQ101" s="19"/>
      <c r="BR101" s="19"/>
      <c r="BS101" s="23"/>
    </row>
    <row r="102" customFormat="false" ht="15" hidden="false" customHeight="false" outlineLevel="0" collapsed="false">
      <c r="A102" s="19"/>
      <c r="B102" s="19"/>
      <c r="C102" s="19"/>
      <c r="D102" s="19"/>
      <c r="E102" s="19"/>
      <c r="F102" s="19"/>
      <c r="G102" s="19"/>
      <c r="H102" s="20"/>
      <c r="I102" s="19"/>
      <c r="J102" s="19"/>
      <c r="K102" s="19"/>
      <c r="L102" s="21"/>
      <c r="M102" s="21"/>
      <c r="N102" s="21"/>
      <c r="O102" s="21"/>
      <c r="P102" s="21"/>
      <c r="Q102" s="21"/>
      <c r="R102" s="21"/>
      <c r="S102" s="19"/>
      <c r="T102" s="19"/>
      <c r="U102" s="19"/>
      <c r="V102" s="19"/>
      <c r="W102" s="19"/>
      <c r="X102" s="19"/>
      <c r="Y102" s="19"/>
      <c r="Z102" s="19"/>
      <c r="AA102" s="19"/>
      <c r="AB102" s="19" t="str">
        <f aca="false">IF(NOT(ISNUMBER(Q102)),"",IF(E102="organizer_case",IF(ISNUMBER(P102),ROUND((Q102-P102)*86400,0),""),IF(J102="ADVANCE",IF(ISNUMBER(O102),ROUND((Q102-MAX(O102,N102))*86400,0),""),IF(ISNUMBER(O102),ROUND((Q102-O102)*86400,0),""))))</f>
        <v/>
      </c>
      <c r="AC102" s="19" t="str">
        <f aca="false">IF(AND(ISNUMBER(Q102),ISNUMBER(R102)),ROUND(R102-Q102,2),"")</f>
        <v/>
      </c>
      <c r="AD102" s="19" t="str">
        <f aca="false">IF(AND(ISNUMBER(AB102),ISNUMBER(Z102)),AB102-Z102,"")</f>
        <v/>
      </c>
      <c r="AE102" s="19"/>
      <c r="AF102" s="19"/>
      <c r="AG102" s="22"/>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4"/>
      <c r="BH102" s="23"/>
      <c r="BI102" s="23"/>
      <c r="BJ102" s="19"/>
      <c r="BK102" s="19"/>
      <c r="BL102" s="19"/>
      <c r="BM102" s="19"/>
      <c r="BN102" s="23"/>
      <c r="BO102" s="23"/>
      <c r="BP102" s="19"/>
      <c r="BQ102" s="19"/>
      <c r="BR102" s="19"/>
      <c r="BS102" s="23"/>
    </row>
    <row r="103" customFormat="false" ht="15" hidden="false" customHeight="false" outlineLevel="0" collapsed="false">
      <c r="A103" s="19"/>
      <c r="B103" s="19"/>
      <c r="C103" s="19"/>
      <c r="D103" s="19"/>
      <c r="E103" s="19"/>
      <c r="F103" s="19"/>
      <c r="G103" s="19"/>
      <c r="H103" s="20"/>
      <c r="I103" s="19"/>
      <c r="J103" s="19"/>
      <c r="K103" s="19"/>
      <c r="L103" s="21"/>
      <c r="M103" s="21"/>
      <c r="N103" s="21"/>
      <c r="O103" s="21"/>
      <c r="P103" s="21"/>
      <c r="Q103" s="21"/>
      <c r="R103" s="21"/>
      <c r="S103" s="19"/>
      <c r="T103" s="19"/>
      <c r="U103" s="19"/>
      <c r="V103" s="19"/>
      <c r="W103" s="19"/>
      <c r="X103" s="19"/>
      <c r="Y103" s="19"/>
      <c r="Z103" s="19"/>
      <c r="AA103" s="19"/>
      <c r="AB103" s="19" t="str">
        <f aca="false">IF(NOT(ISNUMBER(Q103)),"",IF(E103="organizer_case",IF(ISNUMBER(P103),ROUND((Q103-P103)*86400,0),""),IF(J103="ADVANCE",IF(ISNUMBER(O103),ROUND((Q103-MAX(O103,N103))*86400,0),""),IF(ISNUMBER(O103),ROUND((Q103-O103)*86400,0),""))))</f>
        <v/>
      </c>
      <c r="AC103" s="19" t="str">
        <f aca="false">IF(AND(ISNUMBER(Q103),ISNUMBER(R103)),ROUND(R103-Q103,2),"")</f>
        <v/>
      </c>
      <c r="AD103" s="19" t="str">
        <f aca="false">IF(AND(ISNUMBER(AB103),ISNUMBER(Z103)),AB103-Z103,"")</f>
        <v/>
      </c>
      <c r="AE103" s="19"/>
      <c r="AF103" s="19"/>
      <c r="AG103" s="22"/>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4"/>
      <c r="BH103" s="23"/>
      <c r="BI103" s="23"/>
      <c r="BJ103" s="19"/>
      <c r="BK103" s="19"/>
      <c r="BL103" s="19"/>
      <c r="BM103" s="19"/>
      <c r="BN103" s="23"/>
      <c r="BO103" s="23"/>
      <c r="BP103" s="19"/>
      <c r="BQ103" s="19"/>
      <c r="BR103" s="19"/>
      <c r="BS103" s="23"/>
    </row>
    <row r="104" customFormat="false" ht="15" hidden="false" customHeight="false" outlineLevel="0" collapsed="false">
      <c r="A104" s="19"/>
      <c r="B104" s="19"/>
      <c r="C104" s="19"/>
      <c r="D104" s="19"/>
      <c r="E104" s="19"/>
      <c r="F104" s="19"/>
      <c r="G104" s="19"/>
      <c r="H104" s="20"/>
      <c r="I104" s="19"/>
      <c r="J104" s="19"/>
      <c r="K104" s="19"/>
      <c r="L104" s="21"/>
      <c r="M104" s="21"/>
      <c r="N104" s="21"/>
      <c r="O104" s="21"/>
      <c r="P104" s="21"/>
      <c r="Q104" s="21"/>
      <c r="R104" s="21"/>
      <c r="S104" s="19"/>
      <c r="T104" s="19"/>
      <c r="U104" s="19"/>
      <c r="V104" s="19"/>
      <c r="W104" s="19"/>
      <c r="X104" s="19"/>
      <c r="Y104" s="19"/>
      <c r="Z104" s="19"/>
      <c r="AA104" s="19"/>
      <c r="AB104" s="19" t="str">
        <f aca="false">IF(NOT(ISNUMBER(Q104)),"",IF(E104="organizer_case",IF(ISNUMBER(P104),ROUND((Q104-P104)*86400,0),""),IF(J104="ADVANCE",IF(ISNUMBER(O104),ROUND((Q104-MAX(O104,N104))*86400,0),""),IF(ISNUMBER(O104),ROUND((Q104-O104)*86400,0),""))))</f>
        <v/>
      </c>
      <c r="AC104" s="19" t="str">
        <f aca="false">IF(AND(ISNUMBER(Q104),ISNUMBER(R104)),ROUND(R104-Q104,2),"")</f>
        <v/>
      </c>
      <c r="AD104" s="19" t="str">
        <f aca="false">IF(AND(ISNUMBER(AB104),ISNUMBER(Z104)),AB104-Z104,"")</f>
        <v/>
      </c>
      <c r="AE104" s="19"/>
      <c r="AF104" s="19"/>
      <c r="AG104" s="22"/>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4"/>
      <c r="BH104" s="23"/>
      <c r="BI104" s="23"/>
      <c r="BJ104" s="19"/>
      <c r="BK104" s="19"/>
      <c r="BL104" s="19"/>
      <c r="BM104" s="19"/>
      <c r="BN104" s="23"/>
      <c r="BO104" s="23"/>
      <c r="BP104" s="19"/>
      <c r="BQ104" s="19"/>
      <c r="BR104" s="19"/>
      <c r="BS104" s="23"/>
    </row>
    <row r="105" customFormat="false" ht="15" hidden="false" customHeight="false" outlineLevel="0" collapsed="false">
      <c r="A105" s="19"/>
      <c r="B105" s="19"/>
      <c r="C105" s="19"/>
      <c r="D105" s="19"/>
      <c r="E105" s="19"/>
      <c r="F105" s="19"/>
      <c r="G105" s="19"/>
      <c r="H105" s="20"/>
      <c r="I105" s="19"/>
      <c r="J105" s="19"/>
      <c r="K105" s="19"/>
      <c r="L105" s="21"/>
      <c r="M105" s="21"/>
      <c r="N105" s="21"/>
      <c r="O105" s="21"/>
      <c r="P105" s="21"/>
      <c r="Q105" s="21"/>
      <c r="R105" s="21"/>
      <c r="S105" s="19"/>
      <c r="T105" s="19"/>
      <c r="U105" s="19"/>
      <c r="V105" s="19"/>
      <c r="W105" s="19"/>
      <c r="X105" s="19"/>
      <c r="Y105" s="19"/>
      <c r="Z105" s="19"/>
      <c r="AA105" s="19"/>
      <c r="AB105" s="19" t="str">
        <f aca="false">IF(NOT(ISNUMBER(Q105)),"",IF(E105="organizer_case",IF(ISNUMBER(P105),ROUND((Q105-P105)*86400,0),""),IF(J105="ADVANCE",IF(ISNUMBER(O105),ROUND((Q105-MAX(O105,N105))*86400,0),""),IF(ISNUMBER(O105),ROUND((Q105-O105)*86400,0),""))))</f>
        <v/>
      </c>
      <c r="AC105" s="19" t="str">
        <f aca="false">IF(AND(ISNUMBER(Q105),ISNUMBER(R105)),ROUND(R105-Q105,2),"")</f>
        <v/>
      </c>
      <c r="AD105" s="19" t="str">
        <f aca="false">IF(AND(ISNUMBER(AB105),ISNUMBER(Z105)),AB105-Z105,"")</f>
        <v/>
      </c>
      <c r="AE105" s="19"/>
      <c r="AF105" s="19"/>
      <c r="AG105" s="22"/>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4"/>
      <c r="BH105" s="23"/>
      <c r="BI105" s="23"/>
      <c r="BJ105" s="19"/>
      <c r="BK105" s="19"/>
      <c r="BL105" s="19"/>
      <c r="BM105" s="19"/>
      <c r="BN105" s="23"/>
      <c r="BO105" s="23"/>
      <c r="BP105" s="19"/>
      <c r="BQ105" s="19"/>
      <c r="BR105" s="19"/>
      <c r="BS105" s="23"/>
    </row>
    <row r="106" customFormat="false" ht="15" hidden="false" customHeight="false" outlineLevel="0" collapsed="false">
      <c r="A106" s="19"/>
      <c r="B106" s="19"/>
      <c r="C106" s="19"/>
      <c r="D106" s="19"/>
      <c r="E106" s="19"/>
      <c r="F106" s="19"/>
      <c r="G106" s="19"/>
      <c r="H106" s="20"/>
      <c r="I106" s="19"/>
      <c r="J106" s="19"/>
      <c r="K106" s="19"/>
      <c r="L106" s="21"/>
      <c r="M106" s="21"/>
      <c r="N106" s="21"/>
      <c r="O106" s="21"/>
      <c r="P106" s="21"/>
      <c r="Q106" s="21"/>
      <c r="R106" s="21"/>
      <c r="S106" s="19"/>
      <c r="T106" s="19"/>
      <c r="U106" s="19"/>
      <c r="V106" s="19"/>
      <c r="W106" s="19"/>
      <c r="X106" s="19"/>
      <c r="Y106" s="19"/>
      <c r="Z106" s="19"/>
      <c r="AA106" s="19"/>
      <c r="AB106" s="19" t="str">
        <f aca="false">IF(NOT(ISNUMBER(Q106)),"",IF(E106="organizer_case",IF(ISNUMBER(P106),ROUND((Q106-P106)*86400,0),""),IF(J106="ADVANCE",IF(ISNUMBER(O106),ROUND((Q106-MAX(O106,N106))*86400,0),""),IF(ISNUMBER(O106),ROUND((Q106-O106)*86400,0),""))))</f>
        <v/>
      </c>
      <c r="AC106" s="19" t="str">
        <f aca="false">IF(AND(ISNUMBER(Q106),ISNUMBER(R106)),ROUND(R106-Q106,2),"")</f>
        <v/>
      </c>
      <c r="AD106" s="19" t="str">
        <f aca="false">IF(AND(ISNUMBER(AB106),ISNUMBER(Z106)),AB106-Z106,"")</f>
        <v/>
      </c>
      <c r="AE106" s="19"/>
      <c r="AF106" s="19"/>
      <c r="AG106" s="22"/>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4"/>
      <c r="BH106" s="23"/>
      <c r="BI106" s="23"/>
      <c r="BJ106" s="19"/>
      <c r="BK106" s="19"/>
      <c r="BL106" s="19"/>
      <c r="BM106" s="19"/>
      <c r="BN106" s="23"/>
      <c r="BO106" s="23"/>
      <c r="BP106" s="19"/>
      <c r="BQ106" s="19"/>
      <c r="BR106" s="19"/>
      <c r="BS106" s="23"/>
    </row>
    <row r="107" customFormat="false" ht="15" hidden="false" customHeight="false" outlineLevel="0" collapsed="false">
      <c r="A107" s="19"/>
      <c r="B107" s="19"/>
      <c r="C107" s="19"/>
      <c r="D107" s="19"/>
      <c r="E107" s="19"/>
      <c r="F107" s="19"/>
      <c r="G107" s="19"/>
      <c r="H107" s="20"/>
      <c r="I107" s="19"/>
      <c r="J107" s="19"/>
      <c r="K107" s="19"/>
      <c r="L107" s="21"/>
      <c r="M107" s="21"/>
      <c r="N107" s="21"/>
      <c r="O107" s="21"/>
      <c r="P107" s="21"/>
      <c r="Q107" s="21"/>
      <c r="R107" s="21"/>
      <c r="S107" s="19"/>
      <c r="T107" s="19"/>
      <c r="U107" s="19"/>
      <c r="V107" s="19"/>
      <c r="W107" s="19"/>
      <c r="X107" s="19"/>
      <c r="Y107" s="19"/>
      <c r="Z107" s="19"/>
      <c r="AA107" s="19"/>
      <c r="AB107" s="19" t="str">
        <f aca="false">IF(NOT(ISNUMBER(Q107)),"",IF(E107="organizer_case",IF(ISNUMBER(P107),ROUND((Q107-P107)*86400,0),""),IF(J107="ADVANCE",IF(ISNUMBER(O107),ROUND((Q107-MAX(O107,N107))*86400,0),""),IF(ISNUMBER(O107),ROUND((Q107-O107)*86400,0),""))))</f>
        <v/>
      </c>
      <c r="AC107" s="19" t="str">
        <f aca="false">IF(AND(ISNUMBER(Q107),ISNUMBER(R107)),ROUND(R107-Q107,2),"")</f>
        <v/>
      </c>
      <c r="AD107" s="19" t="str">
        <f aca="false">IF(AND(ISNUMBER(AB107),ISNUMBER(Z107)),AB107-Z107,"")</f>
        <v/>
      </c>
      <c r="AE107" s="19"/>
      <c r="AF107" s="19"/>
      <c r="AG107" s="22"/>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4"/>
      <c r="BH107" s="23"/>
      <c r="BI107" s="23"/>
      <c r="BJ107" s="19"/>
      <c r="BK107" s="19"/>
      <c r="BL107" s="19"/>
      <c r="BM107" s="19"/>
      <c r="BN107" s="23"/>
      <c r="BO107" s="23"/>
      <c r="BP107" s="19"/>
      <c r="BQ107" s="19"/>
      <c r="BR107" s="19"/>
      <c r="BS107" s="23"/>
    </row>
    <row r="108" customFormat="false" ht="15" hidden="false" customHeight="false" outlineLevel="0" collapsed="false">
      <c r="A108" s="19"/>
      <c r="B108" s="19"/>
      <c r="C108" s="19"/>
      <c r="D108" s="19"/>
      <c r="E108" s="19"/>
      <c r="F108" s="19"/>
      <c r="G108" s="19"/>
      <c r="H108" s="20"/>
      <c r="I108" s="19"/>
      <c r="J108" s="19"/>
      <c r="K108" s="19"/>
      <c r="L108" s="21"/>
      <c r="M108" s="21"/>
      <c r="N108" s="21"/>
      <c r="O108" s="21"/>
      <c r="P108" s="21"/>
      <c r="Q108" s="21"/>
      <c r="R108" s="21"/>
      <c r="S108" s="19"/>
      <c r="T108" s="19"/>
      <c r="U108" s="19"/>
      <c r="V108" s="19"/>
      <c r="W108" s="19"/>
      <c r="X108" s="19"/>
      <c r="Y108" s="19"/>
      <c r="Z108" s="19"/>
      <c r="AA108" s="19"/>
      <c r="AB108" s="19" t="str">
        <f aca="false">IF(NOT(ISNUMBER(Q108)),"",IF(E108="organizer_case",IF(ISNUMBER(P108),ROUND((Q108-P108)*86400,0),""),IF(J108="ADVANCE",IF(ISNUMBER(O108),ROUND((Q108-MAX(O108,N108))*86400,0),""),IF(ISNUMBER(O108),ROUND((Q108-O108)*86400,0),""))))</f>
        <v/>
      </c>
      <c r="AC108" s="19" t="str">
        <f aca="false">IF(AND(ISNUMBER(Q108),ISNUMBER(R108)),ROUND(R108-Q108,2),"")</f>
        <v/>
      </c>
      <c r="AD108" s="19" t="str">
        <f aca="false">IF(AND(ISNUMBER(AB108),ISNUMBER(Z108)),AB108-Z108,"")</f>
        <v/>
      </c>
      <c r="AE108" s="19"/>
      <c r="AF108" s="19"/>
      <c r="AG108" s="22"/>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4"/>
      <c r="BH108" s="23"/>
      <c r="BI108" s="23"/>
      <c r="BJ108" s="19"/>
      <c r="BK108" s="19"/>
      <c r="BL108" s="19"/>
      <c r="BM108" s="19"/>
      <c r="BN108" s="23"/>
      <c r="BO108" s="23"/>
      <c r="BP108" s="19"/>
      <c r="BQ108" s="19"/>
      <c r="BR108" s="19"/>
      <c r="BS108" s="23"/>
    </row>
    <row r="109" customFormat="false" ht="15" hidden="false" customHeight="false" outlineLevel="0" collapsed="false">
      <c r="A109" s="19"/>
      <c r="B109" s="19"/>
      <c r="C109" s="19"/>
      <c r="D109" s="19"/>
      <c r="E109" s="19"/>
      <c r="F109" s="19"/>
      <c r="G109" s="19"/>
      <c r="H109" s="20"/>
      <c r="I109" s="19"/>
      <c r="J109" s="19"/>
      <c r="K109" s="19"/>
      <c r="L109" s="21"/>
      <c r="M109" s="21"/>
      <c r="N109" s="21"/>
      <c r="O109" s="21"/>
      <c r="P109" s="21"/>
      <c r="Q109" s="21"/>
      <c r="R109" s="21"/>
      <c r="S109" s="19"/>
      <c r="T109" s="19"/>
      <c r="U109" s="19"/>
      <c r="V109" s="19"/>
      <c r="W109" s="19"/>
      <c r="X109" s="19"/>
      <c r="Y109" s="19"/>
      <c r="Z109" s="19"/>
      <c r="AA109" s="19"/>
      <c r="AB109" s="19" t="str">
        <f aca="false">IF(NOT(ISNUMBER(Q109)),"",IF(E109="organizer_case",IF(ISNUMBER(P109),ROUND((Q109-P109)*86400,0),""),IF(J109="ADVANCE",IF(ISNUMBER(O109),ROUND((Q109-MAX(O109,N109))*86400,0),""),IF(ISNUMBER(O109),ROUND((Q109-O109)*86400,0),""))))</f>
        <v/>
      </c>
      <c r="AC109" s="19" t="str">
        <f aca="false">IF(AND(ISNUMBER(Q109),ISNUMBER(R109)),ROUND(R109-Q109,2),"")</f>
        <v/>
      </c>
      <c r="AD109" s="19" t="str">
        <f aca="false">IF(AND(ISNUMBER(AB109),ISNUMBER(Z109)),AB109-Z109,"")</f>
        <v/>
      </c>
      <c r="AE109" s="19"/>
      <c r="AF109" s="19"/>
      <c r="AG109" s="22"/>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4"/>
      <c r="BH109" s="23"/>
      <c r="BI109" s="23"/>
      <c r="BJ109" s="19"/>
      <c r="BK109" s="19"/>
      <c r="BL109" s="19"/>
      <c r="BM109" s="19"/>
      <c r="BN109" s="23"/>
      <c r="BO109" s="23"/>
      <c r="BP109" s="19"/>
      <c r="BQ109" s="19"/>
      <c r="BR109" s="19"/>
      <c r="BS109" s="23"/>
    </row>
    <row r="110" customFormat="false" ht="15" hidden="false" customHeight="false" outlineLevel="0" collapsed="false">
      <c r="A110" s="19"/>
      <c r="B110" s="19"/>
      <c r="C110" s="19"/>
      <c r="D110" s="19"/>
      <c r="E110" s="19"/>
      <c r="F110" s="19"/>
      <c r="G110" s="19"/>
      <c r="H110" s="20"/>
      <c r="I110" s="19"/>
      <c r="J110" s="19"/>
      <c r="K110" s="19"/>
      <c r="L110" s="21"/>
      <c r="M110" s="21"/>
      <c r="N110" s="21"/>
      <c r="O110" s="21"/>
      <c r="P110" s="21"/>
      <c r="Q110" s="21"/>
      <c r="R110" s="21"/>
      <c r="S110" s="19"/>
      <c r="T110" s="19"/>
      <c r="U110" s="19"/>
      <c r="V110" s="19"/>
      <c r="W110" s="19"/>
      <c r="X110" s="19"/>
      <c r="Y110" s="19"/>
      <c r="Z110" s="19"/>
      <c r="AA110" s="19"/>
      <c r="AB110" s="19" t="str">
        <f aca="false">IF(NOT(ISNUMBER(Q110)),"",IF(E110="organizer_case",IF(ISNUMBER(P110),ROUND((Q110-P110)*86400,0),""),IF(J110="ADVANCE",IF(ISNUMBER(O110),ROUND((Q110-MAX(O110,N110))*86400,0),""),IF(ISNUMBER(O110),ROUND((Q110-O110)*86400,0),""))))</f>
        <v/>
      </c>
      <c r="AC110" s="19" t="str">
        <f aca="false">IF(AND(ISNUMBER(Q110),ISNUMBER(R110)),ROUND(R110-Q110,2),"")</f>
        <v/>
      </c>
      <c r="AD110" s="19" t="str">
        <f aca="false">IF(AND(ISNUMBER(AB110),ISNUMBER(Z110)),AB110-Z110,"")</f>
        <v/>
      </c>
      <c r="AE110" s="19"/>
      <c r="AF110" s="19"/>
      <c r="AG110" s="22"/>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4"/>
      <c r="BH110" s="23"/>
      <c r="BI110" s="23"/>
      <c r="BJ110" s="19"/>
      <c r="BK110" s="19"/>
      <c r="BL110" s="19"/>
      <c r="BM110" s="19"/>
      <c r="BN110" s="23"/>
      <c r="BO110" s="23"/>
      <c r="BP110" s="19"/>
      <c r="BQ110" s="19"/>
      <c r="BR110" s="19"/>
      <c r="BS110" s="23"/>
    </row>
    <row r="111" customFormat="false" ht="15" hidden="false" customHeight="false" outlineLevel="0" collapsed="false">
      <c r="A111" s="19"/>
      <c r="B111" s="19"/>
      <c r="C111" s="19"/>
      <c r="D111" s="19"/>
      <c r="E111" s="19"/>
      <c r="F111" s="19"/>
      <c r="G111" s="19"/>
      <c r="H111" s="20"/>
      <c r="I111" s="19"/>
      <c r="J111" s="19"/>
      <c r="K111" s="19"/>
      <c r="L111" s="21"/>
      <c r="M111" s="21"/>
      <c r="N111" s="21"/>
      <c r="O111" s="21"/>
      <c r="P111" s="21"/>
      <c r="Q111" s="21"/>
      <c r="R111" s="21"/>
      <c r="S111" s="19"/>
      <c r="T111" s="19"/>
      <c r="U111" s="19"/>
      <c r="V111" s="19"/>
      <c r="W111" s="19"/>
      <c r="X111" s="19"/>
      <c r="Y111" s="19"/>
      <c r="Z111" s="19"/>
      <c r="AA111" s="19"/>
      <c r="AB111" s="19" t="str">
        <f aca="false">IF(NOT(ISNUMBER(Q111)),"",IF(E111="organizer_case",IF(ISNUMBER(P111),ROUND((Q111-P111)*86400,0),""),IF(J111="ADVANCE",IF(ISNUMBER(O111),ROUND((Q111-MAX(O111,N111))*86400,0),""),IF(ISNUMBER(O111),ROUND((Q111-O111)*86400,0),""))))</f>
        <v/>
      </c>
      <c r="AC111" s="19" t="str">
        <f aca="false">IF(AND(ISNUMBER(Q111),ISNUMBER(R111)),ROUND(R111-Q111,2),"")</f>
        <v/>
      </c>
      <c r="AD111" s="19" t="str">
        <f aca="false">IF(AND(ISNUMBER(AB111),ISNUMBER(Z111)),AB111-Z111,"")</f>
        <v/>
      </c>
      <c r="AE111" s="19"/>
      <c r="AF111" s="19"/>
      <c r="AG111" s="22"/>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4"/>
      <c r="BH111" s="23"/>
      <c r="BI111" s="23"/>
      <c r="BJ111" s="19"/>
      <c r="BK111" s="19"/>
      <c r="BL111" s="19"/>
      <c r="BM111" s="19"/>
      <c r="BN111" s="23"/>
      <c r="BO111" s="23"/>
      <c r="BP111" s="19"/>
      <c r="BQ111" s="19"/>
      <c r="BR111" s="19"/>
      <c r="BS111" s="23"/>
    </row>
    <row r="112" customFormat="false" ht="15" hidden="false" customHeight="false" outlineLevel="0" collapsed="false">
      <c r="A112" s="19"/>
      <c r="B112" s="19"/>
      <c r="C112" s="19"/>
      <c r="D112" s="19"/>
      <c r="E112" s="19"/>
      <c r="F112" s="19"/>
      <c r="G112" s="19"/>
      <c r="H112" s="20"/>
      <c r="I112" s="19"/>
      <c r="J112" s="19"/>
      <c r="K112" s="19"/>
      <c r="L112" s="21"/>
      <c r="M112" s="21"/>
      <c r="N112" s="21"/>
      <c r="O112" s="21"/>
      <c r="P112" s="21"/>
      <c r="Q112" s="21"/>
      <c r="R112" s="21"/>
      <c r="S112" s="19"/>
      <c r="T112" s="19"/>
      <c r="U112" s="19"/>
      <c r="V112" s="19"/>
      <c r="W112" s="19"/>
      <c r="X112" s="19"/>
      <c r="Y112" s="19"/>
      <c r="Z112" s="19"/>
      <c r="AA112" s="19"/>
      <c r="AB112" s="19" t="str">
        <f aca="false">IF(NOT(ISNUMBER(Q112)),"",IF(E112="organizer_case",IF(ISNUMBER(P112),ROUND((Q112-P112)*86400,0),""),IF(J112="ADVANCE",IF(ISNUMBER(O112),ROUND((Q112-MAX(O112,N112))*86400,0),""),IF(ISNUMBER(O112),ROUND((Q112-O112)*86400,0),""))))</f>
        <v/>
      </c>
      <c r="AC112" s="19" t="str">
        <f aca="false">IF(AND(ISNUMBER(Q112),ISNUMBER(R112)),ROUND(R112-Q112,2),"")</f>
        <v/>
      </c>
      <c r="AD112" s="19" t="str">
        <f aca="false">IF(AND(ISNUMBER(AB112),ISNUMBER(Z112)),AB112-Z112,"")</f>
        <v/>
      </c>
      <c r="AE112" s="19"/>
      <c r="AF112" s="19"/>
      <c r="AG112" s="22"/>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4"/>
      <c r="BH112" s="23"/>
      <c r="BI112" s="23"/>
      <c r="BJ112" s="19"/>
      <c r="BK112" s="19"/>
      <c r="BL112" s="19"/>
      <c r="BM112" s="19"/>
      <c r="BN112" s="23"/>
      <c r="BO112" s="23"/>
      <c r="BP112" s="19"/>
      <c r="BQ112" s="19"/>
      <c r="BR112" s="19"/>
      <c r="BS112" s="23"/>
    </row>
    <row r="113" customFormat="false" ht="15" hidden="false" customHeight="false" outlineLevel="0" collapsed="false">
      <c r="A113" s="19"/>
      <c r="B113" s="19"/>
      <c r="C113" s="19"/>
      <c r="D113" s="19"/>
      <c r="E113" s="19"/>
      <c r="F113" s="19"/>
      <c r="G113" s="19"/>
      <c r="H113" s="20"/>
      <c r="I113" s="19"/>
      <c r="J113" s="19"/>
      <c r="K113" s="19"/>
      <c r="L113" s="21"/>
      <c r="M113" s="21"/>
      <c r="N113" s="21"/>
      <c r="O113" s="21"/>
      <c r="P113" s="21"/>
      <c r="Q113" s="21"/>
      <c r="R113" s="21"/>
      <c r="S113" s="19"/>
      <c r="T113" s="19"/>
      <c r="U113" s="19"/>
      <c r="V113" s="19"/>
      <c r="W113" s="19"/>
      <c r="X113" s="19"/>
      <c r="Y113" s="19"/>
      <c r="Z113" s="19"/>
      <c r="AA113" s="19"/>
      <c r="AB113" s="19" t="str">
        <f aca="false">IF(NOT(ISNUMBER(Q113)),"",IF(E113="organizer_case",IF(ISNUMBER(P113),ROUND((Q113-P113)*86400,0),""),IF(J113="ADVANCE",IF(ISNUMBER(O113),ROUND((Q113-MAX(O113,N113))*86400,0),""),IF(ISNUMBER(O113),ROUND((Q113-O113)*86400,0),""))))</f>
        <v/>
      </c>
      <c r="AC113" s="19" t="str">
        <f aca="false">IF(AND(ISNUMBER(Q113),ISNUMBER(R113)),ROUND(R113-Q113,2),"")</f>
        <v/>
      </c>
      <c r="AD113" s="19" t="str">
        <f aca="false">IF(AND(ISNUMBER(AB113),ISNUMBER(Z113)),AB113-Z113,"")</f>
        <v/>
      </c>
      <c r="AE113" s="19"/>
      <c r="AF113" s="19"/>
      <c r="AG113" s="22"/>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4"/>
      <c r="BH113" s="23"/>
      <c r="BI113" s="23"/>
      <c r="BJ113" s="19"/>
      <c r="BK113" s="19"/>
      <c r="BL113" s="19"/>
      <c r="BM113" s="19"/>
      <c r="BN113" s="23"/>
      <c r="BO113" s="23"/>
      <c r="BP113" s="19"/>
      <c r="BQ113" s="19"/>
      <c r="BR113" s="19"/>
      <c r="BS113" s="23"/>
    </row>
    <row r="114" customFormat="false" ht="15" hidden="false" customHeight="false" outlineLevel="0" collapsed="false">
      <c r="A114" s="19"/>
      <c r="B114" s="19"/>
      <c r="C114" s="19"/>
      <c r="D114" s="19"/>
      <c r="E114" s="19"/>
      <c r="F114" s="19"/>
      <c r="G114" s="19"/>
      <c r="H114" s="20"/>
      <c r="I114" s="19"/>
      <c r="J114" s="19"/>
      <c r="K114" s="19"/>
      <c r="L114" s="21"/>
      <c r="M114" s="21"/>
      <c r="N114" s="21"/>
      <c r="O114" s="21"/>
      <c r="P114" s="21"/>
      <c r="Q114" s="21"/>
      <c r="R114" s="21"/>
      <c r="S114" s="19"/>
      <c r="T114" s="19"/>
      <c r="U114" s="19"/>
      <c r="V114" s="19"/>
      <c r="W114" s="19"/>
      <c r="X114" s="19"/>
      <c r="Y114" s="19"/>
      <c r="Z114" s="19"/>
      <c r="AA114" s="19"/>
      <c r="AB114" s="19" t="str">
        <f aca="false">IF(NOT(ISNUMBER(Q114)),"",IF(E114="organizer_case",IF(ISNUMBER(P114),ROUND((Q114-P114)*86400,0),""),IF(J114="ADVANCE",IF(ISNUMBER(O114),ROUND((Q114-MAX(O114,N114))*86400,0),""),IF(ISNUMBER(O114),ROUND((Q114-O114)*86400,0),""))))</f>
        <v/>
      </c>
      <c r="AC114" s="19" t="str">
        <f aca="false">IF(AND(ISNUMBER(Q114),ISNUMBER(R114)),ROUND(R114-Q114,2),"")</f>
        <v/>
      </c>
      <c r="AD114" s="19" t="str">
        <f aca="false">IF(AND(ISNUMBER(AB114),ISNUMBER(Z114)),AB114-Z114,"")</f>
        <v/>
      </c>
      <c r="AE114" s="19"/>
      <c r="AF114" s="19"/>
      <c r="AG114" s="22"/>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4"/>
      <c r="BH114" s="23"/>
      <c r="BI114" s="23"/>
      <c r="BJ114" s="19"/>
      <c r="BK114" s="19"/>
      <c r="BL114" s="19"/>
      <c r="BM114" s="19"/>
      <c r="BN114" s="23"/>
      <c r="BO114" s="23"/>
      <c r="BP114" s="19"/>
      <c r="BQ114" s="19"/>
      <c r="BR114" s="19"/>
      <c r="BS114" s="23"/>
    </row>
    <row r="115" customFormat="false" ht="15" hidden="false" customHeight="false" outlineLevel="0" collapsed="false">
      <c r="A115" s="19"/>
      <c r="B115" s="19"/>
      <c r="C115" s="19"/>
      <c r="D115" s="19"/>
      <c r="E115" s="19"/>
      <c r="F115" s="19"/>
      <c r="G115" s="19"/>
      <c r="H115" s="20"/>
      <c r="I115" s="19"/>
      <c r="J115" s="19"/>
      <c r="K115" s="19"/>
      <c r="L115" s="21"/>
      <c r="M115" s="21"/>
      <c r="N115" s="21"/>
      <c r="O115" s="21"/>
      <c r="P115" s="21"/>
      <c r="Q115" s="21"/>
      <c r="R115" s="21"/>
      <c r="S115" s="19"/>
      <c r="T115" s="19"/>
      <c r="U115" s="19"/>
      <c r="V115" s="19"/>
      <c r="W115" s="19"/>
      <c r="X115" s="19"/>
      <c r="Y115" s="19"/>
      <c r="Z115" s="19"/>
      <c r="AA115" s="19"/>
      <c r="AB115" s="19" t="str">
        <f aca="false">IF(NOT(ISNUMBER(Q115)),"",IF(E115="organizer_case",IF(ISNUMBER(P115),ROUND((Q115-P115)*86400,0),""),IF(J115="ADVANCE",IF(ISNUMBER(O115),ROUND((Q115-MAX(O115,N115))*86400,0),""),IF(ISNUMBER(O115),ROUND((Q115-O115)*86400,0),""))))</f>
        <v/>
      </c>
      <c r="AC115" s="19" t="str">
        <f aca="false">IF(AND(ISNUMBER(Q115),ISNUMBER(R115)),ROUND(R115-Q115,2),"")</f>
        <v/>
      </c>
      <c r="AD115" s="19" t="str">
        <f aca="false">IF(AND(ISNUMBER(AB115),ISNUMBER(Z115)),AB115-Z115,"")</f>
        <v/>
      </c>
      <c r="AE115" s="19"/>
      <c r="AF115" s="19"/>
      <c r="AG115" s="22"/>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4"/>
      <c r="BH115" s="23"/>
      <c r="BI115" s="23"/>
      <c r="BJ115" s="19"/>
      <c r="BK115" s="19"/>
      <c r="BL115" s="19"/>
      <c r="BM115" s="19"/>
      <c r="BN115" s="23"/>
      <c r="BO115" s="23"/>
      <c r="BP115" s="19"/>
      <c r="BQ115" s="19"/>
      <c r="BR115" s="19"/>
      <c r="BS115" s="23"/>
    </row>
    <row r="116" customFormat="false" ht="15" hidden="false" customHeight="false" outlineLevel="0" collapsed="false">
      <c r="A116" s="19"/>
      <c r="B116" s="19"/>
      <c r="C116" s="19"/>
      <c r="D116" s="19"/>
      <c r="E116" s="19"/>
      <c r="F116" s="19"/>
      <c r="G116" s="19"/>
      <c r="H116" s="20"/>
      <c r="I116" s="19"/>
      <c r="J116" s="19"/>
      <c r="K116" s="19"/>
      <c r="L116" s="21"/>
      <c r="M116" s="21"/>
      <c r="N116" s="21"/>
      <c r="O116" s="21"/>
      <c r="P116" s="21"/>
      <c r="Q116" s="21"/>
      <c r="R116" s="21"/>
      <c r="S116" s="19"/>
      <c r="T116" s="19"/>
      <c r="U116" s="19"/>
      <c r="V116" s="19"/>
      <c r="W116" s="19"/>
      <c r="X116" s="19"/>
      <c r="Y116" s="19"/>
      <c r="Z116" s="19"/>
      <c r="AA116" s="19"/>
      <c r="AB116" s="19" t="str">
        <f aca="false">IF(NOT(ISNUMBER(Q116)),"",IF(E116="organizer_case",IF(ISNUMBER(P116),ROUND((Q116-P116)*86400,0),""),IF(J116="ADVANCE",IF(ISNUMBER(O116),ROUND((Q116-MAX(O116,N116))*86400,0),""),IF(ISNUMBER(O116),ROUND((Q116-O116)*86400,0),""))))</f>
        <v/>
      </c>
      <c r="AC116" s="19" t="str">
        <f aca="false">IF(AND(ISNUMBER(Q116),ISNUMBER(R116)),ROUND(R116-Q116,2),"")</f>
        <v/>
      </c>
      <c r="AD116" s="19" t="str">
        <f aca="false">IF(AND(ISNUMBER(AB116),ISNUMBER(Z116)),AB116-Z116,"")</f>
        <v/>
      </c>
      <c r="AE116" s="19"/>
      <c r="AF116" s="19"/>
      <c r="AG116" s="22"/>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4"/>
      <c r="BH116" s="23"/>
      <c r="BI116" s="23"/>
      <c r="BJ116" s="19"/>
      <c r="BK116" s="19"/>
      <c r="BL116" s="19"/>
      <c r="BM116" s="19"/>
      <c r="BN116" s="23"/>
      <c r="BO116" s="23"/>
      <c r="BP116" s="19"/>
      <c r="BQ116" s="19"/>
      <c r="BR116" s="19"/>
      <c r="BS116" s="23"/>
    </row>
    <row r="117" customFormat="false" ht="15" hidden="false" customHeight="false" outlineLevel="0" collapsed="false">
      <c r="A117" s="19"/>
      <c r="B117" s="19"/>
      <c r="C117" s="19"/>
      <c r="D117" s="19"/>
      <c r="E117" s="19"/>
      <c r="F117" s="19"/>
      <c r="G117" s="19"/>
      <c r="H117" s="20"/>
      <c r="I117" s="19"/>
      <c r="J117" s="19"/>
      <c r="K117" s="19"/>
      <c r="L117" s="21"/>
      <c r="M117" s="21"/>
      <c r="N117" s="21"/>
      <c r="O117" s="21"/>
      <c r="P117" s="21"/>
      <c r="Q117" s="21"/>
      <c r="R117" s="21"/>
      <c r="S117" s="19"/>
      <c r="T117" s="19"/>
      <c r="U117" s="19"/>
      <c r="V117" s="19"/>
      <c r="W117" s="19"/>
      <c r="X117" s="19"/>
      <c r="Y117" s="19"/>
      <c r="Z117" s="19"/>
      <c r="AA117" s="19"/>
      <c r="AB117" s="19" t="str">
        <f aca="false">IF(NOT(ISNUMBER(Q117)),"",IF(E117="organizer_case",IF(ISNUMBER(P117),ROUND((Q117-P117)*86400,0),""),IF(J117="ADVANCE",IF(ISNUMBER(O117),ROUND((Q117-MAX(O117,N117))*86400,0),""),IF(ISNUMBER(O117),ROUND((Q117-O117)*86400,0),""))))</f>
        <v/>
      </c>
      <c r="AC117" s="19" t="str">
        <f aca="false">IF(AND(ISNUMBER(Q117),ISNUMBER(R117)),ROUND(R117-Q117,2),"")</f>
        <v/>
      </c>
      <c r="AD117" s="19" t="str">
        <f aca="false">IF(AND(ISNUMBER(AB117),ISNUMBER(Z117)),AB117-Z117,"")</f>
        <v/>
      </c>
      <c r="AE117" s="19"/>
      <c r="AF117" s="19"/>
      <c r="AG117" s="22"/>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4"/>
      <c r="BH117" s="23"/>
      <c r="BI117" s="23"/>
      <c r="BJ117" s="19"/>
      <c r="BK117" s="19"/>
      <c r="BL117" s="19"/>
      <c r="BM117" s="19"/>
      <c r="BN117" s="23"/>
      <c r="BO117" s="23"/>
      <c r="BP117" s="19"/>
      <c r="BQ117" s="19"/>
      <c r="BR117" s="19"/>
      <c r="BS117" s="23"/>
    </row>
    <row r="118" customFormat="false" ht="15" hidden="false" customHeight="false" outlineLevel="0" collapsed="false">
      <c r="A118" s="19"/>
      <c r="B118" s="19"/>
      <c r="C118" s="19"/>
      <c r="D118" s="19"/>
      <c r="E118" s="19"/>
      <c r="F118" s="19"/>
      <c r="G118" s="19"/>
      <c r="H118" s="20"/>
      <c r="I118" s="19"/>
      <c r="J118" s="19"/>
      <c r="K118" s="19"/>
      <c r="L118" s="21"/>
      <c r="M118" s="21"/>
      <c r="N118" s="21"/>
      <c r="O118" s="21"/>
      <c r="P118" s="21"/>
      <c r="Q118" s="21"/>
      <c r="R118" s="21"/>
      <c r="S118" s="19"/>
      <c r="T118" s="19"/>
      <c r="U118" s="19"/>
      <c r="V118" s="19"/>
      <c r="W118" s="19"/>
      <c r="X118" s="19"/>
      <c r="Y118" s="19"/>
      <c r="Z118" s="19"/>
      <c r="AA118" s="19"/>
      <c r="AB118" s="19" t="str">
        <f aca="false">IF(NOT(ISNUMBER(Q118)),"",IF(E118="organizer_case",IF(ISNUMBER(P118),ROUND((Q118-P118)*86400,0),""),IF(J118="ADVANCE",IF(ISNUMBER(O118),ROUND((Q118-MAX(O118,N118))*86400,0),""),IF(ISNUMBER(O118),ROUND((Q118-O118)*86400,0),""))))</f>
        <v/>
      </c>
      <c r="AC118" s="19" t="str">
        <f aca="false">IF(AND(ISNUMBER(Q118),ISNUMBER(R118)),ROUND(R118-Q118,2),"")</f>
        <v/>
      </c>
      <c r="AD118" s="19" t="str">
        <f aca="false">IF(AND(ISNUMBER(AB118),ISNUMBER(Z118)),AB118-Z118,"")</f>
        <v/>
      </c>
      <c r="AE118" s="19"/>
      <c r="AF118" s="19"/>
      <c r="AG118" s="22"/>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4"/>
      <c r="BH118" s="23"/>
      <c r="BI118" s="23"/>
      <c r="BJ118" s="19"/>
      <c r="BK118" s="19"/>
      <c r="BL118" s="19"/>
      <c r="BM118" s="19"/>
      <c r="BN118" s="23"/>
      <c r="BO118" s="23"/>
      <c r="BP118" s="19"/>
      <c r="BQ118" s="19"/>
      <c r="BR118" s="19"/>
      <c r="BS118" s="23"/>
    </row>
    <row r="119" customFormat="false" ht="15" hidden="false" customHeight="false" outlineLevel="0" collapsed="false">
      <c r="A119" s="19"/>
      <c r="B119" s="19"/>
      <c r="C119" s="19"/>
      <c r="D119" s="19"/>
      <c r="E119" s="19"/>
      <c r="F119" s="19"/>
      <c r="G119" s="19"/>
      <c r="H119" s="20"/>
      <c r="I119" s="19"/>
      <c r="J119" s="19"/>
      <c r="K119" s="19"/>
      <c r="L119" s="21"/>
      <c r="M119" s="21"/>
      <c r="N119" s="21"/>
      <c r="O119" s="21"/>
      <c r="P119" s="21"/>
      <c r="Q119" s="21"/>
      <c r="R119" s="21"/>
      <c r="S119" s="19"/>
      <c r="T119" s="19"/>
      <c r="U119" s="19"/>
      <c r="V119" s="19"/>
      <c r="W119" s="19"/>
      <c r="X119" s="19"/>
      <c r="Y119" s="19"/>
      <c r="Z119" s="19"/>
      <c r="AA119" s="19"/>
      <c r="AB119" s="19" t="str">
        <f aca="false">IF(NOT(ISNUMBER(Q119)),"",IF(E119="organizer_case",IF(ISNUMBER(P119),ROUND((Q119-P119)*86400,0),""),IF(J119="ADVANCE",IF(ISNUMBER(O119),ROUND((Q119-MAX(O119,N119))*86400,0),""),IF(ISNUMBER(O119),ROUND((Q119-O119)*86400,0),""))))</f>
        <v/>
      </c>
      <c r="AC119" s="19" t="str">
        <f aca="false">IF(AND(ISNUMBER(Q119),ISNUMBER(R119)),ROUND(R119-Q119,2),"")</f>
        <v/>
      </c>
      <c r="AD119" s="19" t="str">
        <f aca="false">IF(AND(ISNUMBER(AB119),ISNUMBER(Z119)),AB119-Z119,"")</f>
        <v/>
      </c>
      <c r="AE119" s="19"/>
      <c r="AF119" s="19"/>
      <c r="AG119" s="22"/>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4"/>
      <c r="BH119" s="23"/>
      <c r="BI119" s="23"/>
      <c r="BJ119" s="19"/>
      <c r="BK119" s="19"/>
      <c r="BL119" s="19"/>
      <c r="BM119" s="19"/>
      <c r="BN119" s="23"/>
      <c r="BO119" s="23"/>
      <c r="BP119" s="19"/>
      <c r="BQ119" s="19"/>
      <c r="BR119" s="19"/>
      <c r="BS119" s="23"/>
    </row>
    <row r="120" customFormat="false" ht="15" hidden="false" customHeight="false" outlineLevel="0" collapsed="false">
      <c r="A120" s="19"/>
      <c r="B120" s="19"/>
      <c r="C120" s="19"/>
      <c r="D120" s="19"/>
      <c r="E120" s="19"/>
      <c r="F120" s="19"/>
      <c r="G120" s="19"/>
      <c r="H120" s="20"/>
      <c r="I120" s="19"/>
      <c r="J120" s="19"/>
      <c r="K120" s="19"/>
      <c r="L120" s="21"/>
      <c r="M120" s="21"/>
      <c r="N120" s="21"/>
      <c r="O120" s="21"/>
      <c r="P120" s="21"/>
      <c r="Q120" s="21"/>
      <c r="R120" s="21"/>
      <c r="S120" s="19"/>
      <c r="T120" s="19"/>
      <c r="U120" s="19"/>
      <c r="V120" s="19"/>
      <c r="W120" s="19"/>
      <c r="X120" s="19"/>
      <c r="Y120" s="19"/>
      <c r="Z120" s="19"/>
      <c r="AA120" s="19"/>
      <c r="AB120" s="19" t="str">
        <f aca="false">IF(NOT(ISNUMBER(Q120)),"",IF(E120="organizer_case",IF(ISNUMBER(P120),ROUND((Q120-P120)*86400,0),""),IF(J120="ADVANCE",IF(ISNUMBER(O120),ROUND((Q120-MAX(O120,N120))*86400,0),""),IF(ISNUMBER(O120),ROUND((Q120-O120)*86400,0),""))))</f>
        <v/>
      </c>
      <c r="AC120" s="19" t="str">
        <f aca="false">IF(AND(ISNUMBER(Q120),ISNUMBER(R120)),ROUND(R120-Q120,2),"")</f>
        <v/>
      </c>
      <c r="AD120" s="19" t="str">
        <f aca="false">IF(AND(ISNUMBER(AB120),ISNUMBER(Z120)),AB120-Z120,"")</f>
        <v/>
      </c>
      <c r="AE120" s="19"/>
      <c r="AF120" s="19"/>
      <c r="AG120" s="22"/>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4"/>
      <c r="BH120" s="23"/>
      <c r="BI120" s="23"/>
      <c r="BJ120" s="19"/>
      <c r="BK120" s="19"/>
      <c r="BL120" s="19"/>
      <c r="BM120" s="19"/>
      <c r="BN120" s="23"/>
      <c r="BO120" s="23"/>
      <c r="BP120" s="19"/>
      <c r="BQ120" s="19"/>
      <c r="BR120" s="19"/>
      <c r="BS120" s="23"/>
    </row>
    <row r="121" customFormat="false" ht="15" hidden="false" customHeight="false" outlineLevel="0" collapsed="false">
      <c r="A121" s="19"/>
      <c r="B121" s="19"/>
      <c r="C121" s="19"/>
      <c r="D121" s="19"/>
      <c r="E121" s="19"/>
      <c r="F121" s="19"/>
      <c r="G121" s="19"/>
      <c r="H121" s="20"/>
      <c r="I121" s="19"/>
      <c r="J121" s="19"/>
      <c r="K121" s="19"/>
      <c r="L121" s="21"/>
      <c r="M121" s="21"/>
      <c r="N121" s="21"/>
      <c r="O121" s="21"/>
      <c r="P121" s="21"/>
      <c r="Q121" s="21"/>
      <c r="R121" s="21"/>
      <c r="S121" s="19"/>
      <c r="T121" s="19"/>
      <c r="U121" s="19"/>
      <c r="V121" s="19"/>
      <c r="W121" s="19"/>
      <c r="X121" s="19"/>
      <c r="Y121" s="19"/>
      <c r="Z121" s="19"/>
      <c r="AA121" s="19"/>
      <c r="AB121" s="19" t="str">
        <f aca="false">IF(NOT(ISNUMBER(Q121)),"",IF(E121="organizer_case",IF(ISNUMBER(P121),ROUND((Q121-P121)*86400,0),""),IF(J121="ADVANCE",IF(ISNUMBER(O121),ROUND((Q121-MAX(O121,N121))*86400,0),""),IF(ISNUMBER(O121),ROUND((Q121-O121)*86400,0),""))))</f>
        <v/>
      </c>
      <c r="AC121" s="19" t="str">
        <f aca="false">IF(AND(ISNUMBER(Q121),ISNUMBER(R121)),ROUND(R121-Q121,2),"")</f>
        <v/>
      </c>
      <c r="AD121" s="19" t="str">
        <f aca="false">IF(AND(ISNUMBER(AB121),ISNUMBER(Z121)),AB121-Z121,"")</f>
        <v/>
      </c>
      <c r="AE121" s="19"/>
      <c r="AF121" s="19"/>
      <c r="AG121" s="22"/>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4"/>
      <c r="BH121" s="23"/>
      <c r="BI121" s="23"/>
      <c r="BJ121" s="19"/>
      <c r="BK121" s="19"/>
      <c r="BL121" s="19"/>
      <c r="BM121" s="19"/>
      <c r="BN121" s="23"/>
      <c r="BO121" s="23"/>
      <c r="BP121" s="19"/>
      <c r="BQ121" s="19"/>
      <c r="BR121" s="19"/>
      <c r="BS121" s="23"/>
    </row>
    <row r="122" customFormat="false" ht="15" hidden="false" customHeight="false" outlineLevel="0" collapsed="false">
      <c r="A122" s="19"/>
      <c r="B122" s="19"/>
      <c r="C122" s="19"/>
      <c r="D122" s="19"/>
      <c r="E122" s="19"/>
      <c r="F122" s="19"/>
      <c r="G122" s="19"/>
      <c r="H122" s="20"/>
      <c r="I122" s="19"/>
      <c r="J122" s="19"/>
      <c r="K122" s="19"/>
      <c r="L122" s="21"/>
      <c r="M122" s="21"/>
      <c r="N122" s="21"/>
      <c r="O122" s="21"/>
      <c r="P122" s="21"/>
      <c r="Q122" s="21"/>
      <c r="R122" s="21"/>
      <c r="S122" s="19"/>
      <c r="T122" s="19"/>
      <c r="U122" s="19"/>
      <c r="V122" s="19"/>
      <c r="W122" s="19"/>
      <c r="X122" s="19"/>
      <c r="Y122" s="19"/>
      <c r="Z122" s="19"/>
      <c r="AA122" s="19"/>
      <c r="AB122" s="19" t="str">
        <f aca="false">IF(NOT(ISNUMBER(Q122)),"",IF(E122="organizer_case",IF(ISNUMBER(P122),ROUND((Q122-P122)*86400,0),""),IF(J122="ADVANCE",IF(ISNUMBER(O122),ROUND((Q122-MAX(O122,N122))*86400,0),""),IF(ISNUMBER(O122),ROUND((Q122-O122)*86400,0),""))))</f>
        <v/>
      </c>
      <c r="AC122" s="19" t="str">
        <f aca="false">IF(AND(ISNUMBER(Q122),ISNUMBER(R122)),ROUND(R122-Q122,2),"")</f>
        <v/>
      </c>
      <c r="AD122" s="19" t="str">
        <f aca="false">IF(AND(ISNUMBER(AB122),ISNUMBER(Z122)),AB122-Z122,"")</f>
        <v/>
      </c>
      <c r="AE122" s="19"/>
      <c r="AF122" s="19"/>
      <c r="AG122" s="22"/>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4"/>
      <c r="BH122" s="23"/>
      <c r="BI122" s="23"/>
      <c r="BJ122" s="19"/>
      <c r="BK122" s="19"/>
      <c r="BL122" s="19"/>
      <c r="BM122" s="19"/>
      <c r="BN122" s="23"/>
      <c r="BO122" s="23"/>
      <c r="BP122" s="19"/>
      <c r="BQ122" s="19"/>
      <c r="BR122" s="19"/>
      <c r="BS122" s="23"/>
    </row>
    <row r="123" customFormat="false" ht="15" hidden="false" customHeight="false" outlineLevel="0" collapsed="false">
      <c r="A123" s="19"/>
      <c r="B123" s="19"/>
      <c r="C123" s="19"/>
      <c r="D123" s="19"/>
      <c r="E123" s="19"/>
      <c r="F123" s="19"/>
      <c r="G123" s="19"/>
      <c r="H123" s="20"/>
      <c r="I123" s="19"/>
      <c r="J123" s="19"/>
      <c r="K123" s="19"/>
      <c r="L123" s="21"/>
      <c r="M123" s="21"/>
      <c r="N123" s="21"/>
      <c r="O123" s="21"/>
      <c r="P123" s="21"/>
      <c r="Q123" s="21"/>
      <c r="R123" s="21"/>
      <c r="S123" s="19"/>
      <c r="T123" s="19"/>
      <c r="U123" s="19"/>
      <c r="V123" s="19"/>
      <c r="W123" s="19"/>
      <c r="X123" s="19"/>
      <c r="Y123" s="19"/>
      <c r="Z123" s="19"/>
      <c r="AA123" s="19"/>
      <c r="AB123" s="19" t="str">
        <f aca="false">IF(NOT(ISNUMBER(Q123)),"",IF(E123="organizer_case",IF(ISNUMBER(P123),ROUND((Q123-P123)*86400,0),""),IF(J123="ADVANCE",IF(ISNUMBER(O123),ROUND((Q123-MAX(O123,N123))*86400,0),""),IF(ISNUMBER(O123),ROUND((Q123-O123)*86400,0),""))))</f>
        <v/>
      </c>
      <c r="AC123" s="19" t="str">
        <f aca="false">IF(AND(ISNUMBER(Q123),ISNUMBER(R123)),ROUND(R123-Q123,2),"")</f>
        <v/>
      </c>
      <c r="AD123" s="19" t="str">
        <f aca="false">IF(AND(ISNUMBER(AB123),ISNUMBER(Z123)),AB123-Z123,"")</f>
        <v/>
      </c>
      <c r="AE123" s="19"/>
      <c r="AF123" s="19"/>
      <c r="AG123" s="22"/>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4"/>
      <c r="BH123" s="23"/>
      <c r="BI123" s="23"/>
      <c r="BJ123" s="19"/>
      <c r="BK123" s="19"/>
      <c r="BL123" s="19"/>
      <c r="BM123" s="19"/>
      <c r="BN123" s="23"/>
      <c r="BO123" s="23"/>
      <c r="BP123" s="19"/>
      <c r="BQ123" s="19"/>
      <c r="BR123" s="19"/>
      <c r="BS123" s="23"/>
    </row>
    <row r="124" customFormat="false" ht="15" hidden="false" customHeight="false" outlineLevel="0" collapsed="false">
      <c r="A124" s="19"/>
      <c r="B124" s="19"/>
      <c r="C124" s="19"/>
      <c r="D124" s="19"/>
      <c r="E124" s="19"/>
      <c r="F124" s="19"/>
      <c r="G124" s="19"/>
      <c r="H124" s="20"/>
      <c r="I124" s="19"/>
      <c r="J124" s="19"/>
      <c r="K124" s="19"/>
      <c r="L124" s="21"/>
      <c r="M124" s="21"/>
      <c r="N124" s="21"/>
      <c r="O124" s="21"/>
      <c r="P124" s="21"/>
      <c r="Q124" s="21"/>
      <c r="R124" s="21"/>
      <c r="S124" s="19"/>
      <c r="T124" s="19"/>
      <c r="U124" s="19"/>
      <c r="V124" s="19"/>
      <c r="W124" s="19"/>
      <c r="X124" s="19"/>
      <c r="Y124" s="19"/>
      <c r="Z124" s="19"/>
      <c r="AA124" s="19"/>
      <c r="AB124" s="19" t="str">
        <f aca="false">IF(NOT(ISNUMBER(Q124)),"",IF(E124="organizer_case",IF(ISNUMBER(P124),ROUND((Q124-P124)*86400,0),""),IF(J124="ADVANCE",IF(ISNUMBER(O124),ROUND((Q124-MAX(O124,N124))*86400,0),""),IF(ISNUMBER(O124),ROUND((Q124-O124)*86400,0),""))))</f>
        <v/>
      </c>
      <c r="AC124" s="19" t="str">
        <f aca="false">IF(AND(ISNUMBER(Q124),ISNUMBER(R124)),ROUND(R124-Q124,2),"")</f>
        <v/>
      </c>
      <c r="AD124" s="19" t="str">
        <f aca="false">IF(AND(ISNUMBER(AB124),ISNUMBER(Z124)),AB124-Z124,"")</f>
        <v/>
      </c>
      <c r="AE124" s="19"/>
      <c r="AF124" s="19"/>
      <c r="AG124" s="22"/>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4"/>
      <c r="BH124" s="23"/>
      <c r="BI124" s="23"/>
      <c r="BJ124" s="19"/>
      <c r="BK124" s="19"/>
      <c r="BL124" s="19"/>
      <c r="BM124" s="19"/>
      <c r="BN124" s="23"/>
      <c r="BO124" s="23"/>
      <c r="BP124" s="19"/>
      <c r="BQ124" s="19"/>
      <c r="BR124" s="19"/>
      <c r="BS124" s="23"/>
    </row>
    <row r="125" customFormat="false" ht="15" hidden="false" customHeight="false" outlineLevel="0" collapsed="false">
      <c r="A125" s="19"/>
      <c r="B125" s="19"/>
      <c r="C125" s="19"/>
      <c r="D125" s="19"/>
      <c r="E125" s="19"/>
      <c r="F125" s="19"/>
      <c r="G125" s="19"/>
      <c r="H125" s="20"/>
      <c r="I125" s="19"/>
      <c r="J125" s="19"/>
      <c r="K125" s="19"/>
      <c r="L125" s="21"/>
      <c r="M125" s="21"/>
      <c r="N125" s="21"/>
      <c r="O125" s="21"/>
      <c r="P125" s="21"/>
      <c r="Q125" s="21"/>
      <c r="R125" s="21"/>
      <c r="S125" s="19"/>
      <c r="T125" s="19"/>
      <c r="U125" s="19"/>
      <c r="V125" s="19"/>
      <c r="W125" s="19"/>
      <c r="X125" s="19"/>
      <c r="Y125" s="19"/>
      <c r="Z125" s="19"/>
      <c r="AA125" s="19"/>
      <c r="AB125" s="19" t="str">
        <f aca="false">IF(NOT(ISNUMBER(Q125)),"",IF(E125="organizer_case",IF(ISNUMBER(P125),ROUND((Q125-P125)*86400,0),""),IF(J125="ADVANCE",IF(ISNUMBER(O125),ROUND((Q125-MAX(O125,N125))*86400,0),""),IF(ISNUMBER(O125),ROUND((Q125-O125)*86400,0),""))))</f>
        <v/>
      </c>
      <c r="AC125" s="19" t="str">
        <f aca="false">IF(AND(ISNUMBER(Q125),ISNUMBER(R125)),ROUND(R125-Q125,2),"")</f>
        <v/>
      </c>
      <c r="AD125" s="19" t="str">
        <f aca="false">IF(AND(ISNUMBER(AB125),ISNUMBER(Z125)),AB125-Z125,"")</f>
        <v/>
      </c>
      <c r="AE125" s="19"/>
      <c r="AF125" s="19"/>
      <c r="AG125" s="22"/>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4"/>
      <c r="BH125" s="23"/>
      <c r="BI125" s="23"/>
      <c r="BJ125" s="19"/>
      <c r="BK125" s="19"/>
      <c r="BL125" s="19"/>
      <c r="BM125" s="19"/>
      <c r="BN125" s="23"/>
      <c r="BO125" s="23"/>
      <c r="BP125" s="19"/>
      <c r="BQ125" s="19"/>
      <c r="BR125" s="19"/>
      <c r="BS125" s="23"/>
    </row>
    <row r="126" customFormat="false" ht="15" hidden="false" customHeight="false" outlineLevel="0" collapsed="false">
      <c r="A126" s="19"/>
      <c r="B126" s="19"/>
      <c r="C126" s="19"/>
      <c r="D126" s="19"/>
      <c r="E126" s="19"/>
      <c r="F126" s="19"/>
      <c r="G126" s="19"/>
      <c r="H126" s="20"/>
      <c r="I126" s="19"/>
      <c r="J126" s="19"/>
      <c r="K126" s="19"/>
      <c r="L126" s="21"/>
      <c r="M126" s="21"/>
      <c r="N126" s="21"/>
      <c r="O126" s="21"/>
      <c r="P126" s="21"/>
      <c r="Q126" s="21"/>
      <c r="R126" s="21"/>
      <c r="S126" s="19"/>
      <c r="T126" s="19"/>
      <c r="U126" s="19"/>
      <c r="V126" s="19"/>
      <c r="W126" s="19"/>
      <c r="X126" s="19"/>
      <c r="Y126" s="19"/>
      <c r="Z126" s="19"/>
      <c r="AA126" s="19"/>
      <c r="AB126" s="19" t="str">
        <f aca="false">IF(NOT(ISNUMBER(Q126)),"",IF(E126="organizer_case",IF(ISNUMBER(P126),ROUND((Q126-P126)*86400,0),""),IF(J126="ADVANCE",IF(ISNUMBER(O126),ROUND((Q126-MAX(O126,N126))*86400,0),""),IF(ISNUMBER(O126),ROUND((Q126-O126)*86400,0),""))))</f>
        <v/>
      </c>
      <c r="AC126" s="19" t="str">
        <f aca="false">IF(AND(ISNUMBER(Q126),ISNUMBER(R126)),ROUND(R126-Q126,2),"")</f>
        <v/>
      </c>
      <c r="AD126" s="19" t="str">
        <f aca="false">IF(AND(ISNUMBER(AB126),ISNUMBER(Z126)),AB126-Z126,"")</f>
        <v/>
      </c>
      <c r="AE126" s="19"/>
      <c r="AF126" s="19"/>
      <c r="AG126" s="22"/>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4"/>
      <c r="BH126" s="23"/>
      <c r="BI126" s="23"/>
      <c r="BJ126" s="19"/>
      <c r="BK126" s="19"/>
      <c r="BL126" s="19"/>
      <c r="BM126" s="19"/>
      <c r="BN126" s="23"/>
      <c r="BO126" s="23"/>
      <c r="BP126" s="19"/>
      <c r="BQ126" s="19"/>
      <c r="BR126" s="19"/>
      <c r="BS126" s="23"/>
    </row>
    <row r="127" customFormat="false" ht="15" hidden="false" customHeight="false" outlineLevel="0" collapsed="false">
      <c r="A127" s="19"/>
      <c r="B127" s="19"/>
      <c r="C127" s="19"/>
      <c r="D127" s="19"/>
      <c r="E127" s="19"/>
      <c r="F127" s="19"/>
      <c r="G127" s="19"/>
      <c r="H127" s="20"/>
      <c r="I127" s="19"/>
      <c r="J127" s="19"/>
      <c r="K127" s="19"/>
      <c r="L127" s="21"/>
      <c r="M127" s="21"/>
      <c r="N127" s="21"/>
      <c r="O127" s="21"/>
      <c r="P127" s="21"/>
      <c r="Q127" s="21"/>
      <c r="R127" s="21"/>
      <c r="S127" s="19"/>
      <c r="T127" s="19"/>
      <c r="U127" s="19"/>
      <c r="V127" s="19"/>
      <c r="W127" s="19"/>
      <c r="X127" s="19"/>
      <c r="Y127" s="19"/>
      <c r="Z127" s="19"/>
      <c r="AA127" s="19"/>
      <c r="AB127" s="19" t="str">
        <f aca="false">IF(NOT(ISNUMBER(Q127)),"",IF(E127="organizer_case",IF(ISNUMBER(P127),ROUND((Q127-P127)*86400,0),""),IF(J127="ADVANCE",IF(ISNUMBER(O127),ROUND((Q127-MAX(O127,N127))*86400,0),""),IF(ISNUMBER(O127),ROUND((Q127-O127)*86400,0),""))))</f>
        <v/>
      </c>
      <c r="AC127" s="19" t="str">
        <f aca="false">IF(AND(ISNUMBER(Q127),ISNUMBER(R127)),ROUND(R127-Q127,2),"")</f>
        <v/>
      </c>
      <c r="AD127" s="19" t="str">
        <f aca="false">IF(AND(ISNUMBER(AB127),ISNUMBER(Z127)),AB127-Z127,"")</f>
        <v/>
      </c>
      <c r="AE127" s="19"/>
      <c r="AF127" s="19"/>
      <c r="AG127" s="22"/>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4"/>
      <c r="BH127" s="23"/>
      <c r="BI127" s="23"/>
      <c r="BJ127" s="19"/>
      <c r="BK127" s="19"/>
      <c r="BL127" s="19"/>
      <c r="BM127" s="19"/>
      <c r="BN127" s="23"/>
      <c r="BO127" s="23"/>
      <c r="BP127" s="19"/>
      <c r="BQ127" s="19"/>
      <c r="BR127" s="19"/>
      <c r="BS127" s="23"/>
    </row>
    <row r="128" customFormat="false" ht="15" hidden="false" customHeight="false" outlineLevel="0" collapsed="false">
      <c r="A128" s="19"/>
      <c r="B128" s="19"/>
      <c r="C128" s="19"/>
      <c r="D128" s="19"/>
      <c r="E128" s="19"/>
      <c r="F128" s="19"/>
      <c r="G128" s="19"/>
      <c r="H128" s="20"/>
      <c r="I128" s="19"/>
      <c r="J128" s="19"/>
      <c r="K128" s="19"/>
      <c r="L128" s="21"/>
      <c r="M128" s="21"/>
      <c r="N128" s="21"/>
      <c r="O128" s="21"/>
      <c r="P128" s="21"/>
      <c r="Q128" s="21"/>
      <c r="R128" s="21"/>
      <c r="S128" s="19"/>
      <c r="T128" s="19"/>
      <c r="U128" s="19"/>
      <c r="V128" s="19"/>
      <c r="W128" s="19"/>
      <c r="X128" s="19"/>
      <c r="Y128" s="19"/>
      <c r="Z128" s="19"/>
      <c r="AA128" s="19"/>
      <c r="AB128" s="19" t="str">
        <f aca="false">IF(NOT(ISNUMBER(Q128)),"",IF(E128="organizer_case",IF(ISNUMBER(P128),ROUND((Q128-P128)*86400,0),""),IF(J128="ADVANCE",IF(ISNUMBER(O128),ROUND((Q128-MAX(O128,N128))*86400,0),""),IF(ISNUMBER(O128),ROUND((Q128-O128)*86400,0),""))))</f>
        <v/>
      </c>
      <c r="AC128" s="19" t="str">
        <f aca="false">IF(AND(ISNUMBER(Q128),ISNUMBER(R128)),ROUND(R128-Q128,2),"")</f>
        <v/>
      </c>
      <c r="AD128" s="19" t="str">
        <f aca="false">IF(AND(ISNUMBER(AB128),ISNUMBER(Z128)),AB128-Z128,"")</f>
        <v/>
      </c>
      <c r="AE128" s="19"/>
      <c r="AF128" s="19"/>
      <c r="AG128" s="22"/>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4"/>
      <c r="BH128" s="23"/>
      <c r="BI128" s="23"/>
      <c r="BJ128" s="19"/>
      <c r="BK128" s="19"/>
      <c r="BL128" s="19"/>
      <c r="BM128" s="19"/>
      <c r="BN128" s="23"/>
      <c r="BO128" s="23"/>
      <c r="BP128" s="19"/>
      <c r="BQ128" s="19"/>
      <c r="BR128" s="19"/>
      <c r="BS128" s="23"/>
    </row>
    <row r="129" customFormat="false" ht="15" hidden="false" customHeight="false" outlineLevel="0" collapsed="false">
      <c r="A129" s="19"/>
      <c r="B129" s="19"/>
      <c r="C129" s="19"/>
      <c r="D129" s="19"/>
      <c r="E129" s="19"/>
      <c r="F129" s="19"/>
      <c r="G129" s="19"/>
      <c r="H129" s="20"/>
      <c r="I129" s="19"/>
      <c r="J129" s="19"/>
      <c r="K129" s="19"/>
      <c r="L129" s="21"/>
      <c r="M129" s="21"/>
      <c r="N129" s="21"/>
      <c r="O129" s="21"/>
      <c r="P129" s="21"/>
      <c r="Q129" s="21"/>
      <c r="R129" s="21"/>
      <c r="S129" s="19"/>
      <c r="T129" s="19"/>
      <c r="U129" s="19"/>
      <c r="V129" s="19"/>
      <c r="W129" s="19"/>
      <c r="X129" s="19"/>
      <c r="Y129" s="19"/>
      <c r="Z129" s="19"/>
      <c r="AA129" s="19"/>
      <c r="AB129" s="19" t="str">
        <f aca="false">IF(NOT(ISNUMBER(Q129)),"",IF(E129="organizer_case",IF(ISNUMBER(P129),ROUND((Q129-P129)*86400,0),""),IF(J129="ADVANCE",IF(ISNUMBER(O129),ROUND((Q129-MAX(O129,N129))*86400,0),""),IF(ISNUMBER(O129),ROUND((Q129-O129)*86400,0),""))))</f>
        <v/>
      </c>
      <c r="AC129" s="19" t="str">
        <f aca="false">IF(AND(ISNUMBER(Q129),ISNUMBER(R129)),ROUND(R129-Q129,2),"")</f>
        <v/>
      </c>
      <c r="AD129" s="19" t="str">
        <f aca="false">IF(AND(ISNUMBER(AB129),ISNUMBER(Z129)),AB129-Z129,"")</f>
        <v/>
      </c>
      <c r="AE129" s="19"/>
      <c r="AF129" s="19"/>
      <c r="AG129" s="22"/>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4"/>
      <c r="BH129" s="23"/>
      <c r="BI129" s="23"/>
      <c r="BJ129" s="19"/>
      <c r="BK129" s="19"/>
      <c r="BL129" s="19"/>
      <c r="BM129" s="19"/>
      <c r="BN129" s="23"/>
      <c r="BO129" s="23"/>
      <c r="BP129" s="19"/>
      <c r="BQ129" s="19"/>
      <c r="BR129" s="19"/>
      <c r="BS129" s="23"/>
    </row>
    <row r="130" customFormat="false" ht="15" hidden="false" customHeight="false" outlineLevel="0" collapsed="false">
      <c r="A130" s="19"/>
      <c r="B130" s="19"/>
      <c r="C130" s="19"/>
      <c r="D130" s="19"/>
      <c r="E130" s="19"/>
      <c r="F130" s="19"/>
      <c r="G130" s="19"/>
      <c r="H130" s="20"/>
      <c r="I130" s="19"/>
      <c r="J130" s="19"/>
      <c r="K130" s="19"/>
      <c r="L130" s="21"/>
      <c r="M130" s="21"/>
      <c r="N130" s="21"/>
      <c r="O130" s="21"/>
      <c r="P130" s="21"/>
      <c r="Q130" s="21"/>
      <c r="R130" s="21"/>
      <c r="S130" s="19"/>
      <c r="T130" s="19"/>
      <c r="U130" s="19"/>
      <c r="V130" s="19"/>
      <c r="W130" s="19"/>
      <c r="X130" s="19"/>
      <c r="Y130" s="19"/>
      <c r="Z130" s="19"/>
      <c r="AA130" s="19"/>
      <c r="AB130" s="19" t="str">
        <f aca="false">IF(NOT(ISNUMBER(Q130)),"",IF(E130="organizer_case",IF(ISNUMBER(P130),ROUND((Q130-P130)*86400,0),""),IF(J130="ADVANCE",IF(ISNUMBER(O130),ROUND((Q130-MAX(O130,N130))*86400,0),""),IF(ISNUMBER(O130),ROUND((Q130-O130)*86400,0),""))))</f>
        <v/>
      </c>
      <c r="AC130" s="19" t="str">
        <f aca="false">IF(AND(ISNUMBER(Q130),ISNUMBER(R130)),ROUND(R130-Q130,2),"")</f>
        <v/>
      </c>
      <c r="AD130" s="19" t="str">
        <f aca="false">IF(AND(ISNUMBER(AB130),ISNUMBER(Z130)),AB130-Z130,"")</f>
        <v/>
      </c>
      <c r="AE130" s="19"/>
      <c r="AF130" s="19"/>
      <c r="AG130" s="22"/>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4"/>
      <c r="BH130" s="23"/>
      <c r="BI130" s="23"/>
      <c r="BJ130" s="19"/>
      <c r="BK130" s="19"/>
      <c r="BL130" s="19"/>
      <c r="BM130" s="19"/>
      <c r="BN130" s="23"/>
      <c r="BO130" s="23"/>
      <c r="BP130" s="19"/>
      <c r="BQ130" s="19"/>
      <c r="BR130" s="19"/>
      <c r="BS130" s="23"/>
    </row>
    <row r="131" customFormat="false" ht="15" hidden="false" customHeight="false" outlineLevel="0" collapsed="false">
      <c r="A131" s="19"/>
      <c r="B131" s="19"/>
      <c r="C131" s="19"/>
      <c r="D131" s="19"/>
      <c r="E131" s="19"/>
      <c r="F131" s="19"/>
      <c r="G131" s="19"/>
      <c r="H131" s="20"/>
      <c r="I131" s="19"/>
      <c r="J131" s="19"/>
      <c r="K131" s="19"/>
      <c r="L131" s="21"/>
      <c r="M131" s="21"/>
      <c r="N131" s="21"/>
      <c r="O131" s="21"/>
      <c r="P131" s="21"/>
      <c r="Q131" s="21"/>
      <c r="R131" s="21"/>
      <c r="S131" s="19"/>
      <c r="T131" s="19"/>
      <c r="U131" s="19"/>
      <c r="V131" s="19"/>
      <c r="W131" s="19"/>
      <c r="X131" s="19"/>
      <c r="Y131" s="19"/>
      <c r="Z131" s="19"/>
      <c r="AA131" s="19"/>
      <c r="AB131" s="19" t="str">
        <f aca="false">IF(NOT(ISNUMBER(Q131)),"",IF(E131="organizer_case",IF(ISNUMBER(P131),ROUND((Q131-P131)*86400,0),""),IF(J131="ADVANCE",IF(ISNUMBER(O131),ROUND((Q131-MAX(O131,N131))*86400,0),""),IF(ISNUMBER(O131),ROUND((Q131-O131)*86400,0),""))))</f>
        <v/>
      </c>
      <c r="AC131" s="19" t="str">
        <f aca="false">IF(AND(ISNUMBER(Q131),ISNUMBER(R131)),ROUND(R131-Q131,2),"")</f>
        <v/>
      </c>
      <c r="AD131" s="19" t="str">
        <f aca="false">IF(AND(ISNUMBER(AB131),ISNUMBER(Z131)),AB131-Z131,"")</f>
        <v/>
      </c>
      <c r="AE131" s="19"/>
      <c r="AF131" s="19"/>
      <c r="AG131" s="22"/>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4"/>
      <c r="BH131" s="23"/>
      <c r="BI131" s="23"/>
      <c r="BJ131" s="19"/>
      <c r="BK131" s="19"/>
      <c r="BL131" s="19"/>
      <c r="BM131" s="19"/>
      <c r="BN131" s="23"/>
      <c r="BO131" s="23"/>
      <c r="BP131" s="19"/>
      <c r="BQ131" s="19"/>
      <c r="BR131" s="19"/>
      <c r="BS131" s="23"/>
    </row>
    <row r="132" customFormat="false" ht="15" hidden="false" customHeight="false" outlineLevel="0" collapsed="false">
      <c r="A132" s="19"/>
      <c r="B132" s="19"/>
      <c r="C132" s="19"/>
      <c r="D132" s="19"/>
      <c r="E132" s="19"/>
      <c r="F132" s="19"/>
      <c r="G132" s="19"/>
      <c r="H132" s="20"/>
      <c r="I132" s="19"/>
      <c r="J132" s="19"/>
      <c r="K132" s="19"/>
      <c r="L132" s="21"/>
      <c r="M132" s="21"/>
      <c r="N132" s="21"/>
      <c r="O132" s="21"/>
      <c r="P132" s="21"/>
      <c r="Q132" s="21"/>
      <c r="R132" s="21"/>
      <c r="S132" s="19"/>
      <c r="T132" s="19"/>
      <c r="U132" s="19"/>
      <c r="V132" s="19"/>
      <c r="W132" s="19"/>
      <c r="X132" s="19"/>
      <c r="Y132" s="19"/>
      <c r="Z132" s="19"/>
      <c r="AA132" s="19"/>
      <c r="AB132" s="19" t="str">
        <f aca="false">IF(NOT(ISNUMBER(Q132)),"",IF(E132="organizer_case",IF(ISNUMBER(P132),ROUND((Q132-P132)*86400,0),""),IF(J132="ADVANCE",IF(ISNUMBER(O132),ROUND((Q132-MAX(O132,N132))*86400,0),""),IF(ISNUMBER(O132),ROUND((Q132-O132)*86400,0),""))))</f>
        <v/>
      </c>
      <c r="AC132" s="19" t="str">
        <f aca="false">IF(AND(ISNUMBER(Q132),ISNUMBER(R132)),ROUND(R132-Q132,2),"")</f>
        <v/>
      </c>
      <c r="AD132" s="19" t="str">
        <f aca="false">IF(AND(ISNUMBER(AB132),ISNUMBER(Z132)),AB132-Z132,"")</f>
        <v/>
      </c>
      <c r="AE132" s="19"/>
      <c r="AF132" s="19"/>
      <c r="AG132" s="22"/>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4"/>
      <c r="BH132" s="23"/>
      <c r="BI132" s="23"/>
      <c r="BJ132" s="19"/>
      <c r="BK132" s="19"/>
      <c r="BL132" s="19"/>
      <c r="BM132" s="19"/>
      <c r="BN132" s="23"/>
      <c r="BO132" s="23"/>
      <c r="BP132" s="19"/>
      <c r="BQ132" s="19"/>
      <c r="BR132" s="19"/>
      <c r="BS132" s="23"/>
    </row>
    <row r="133" customFormat="false" ht="15" hidden="false" customHeight="false" outlineLevel="0" collapsed="false">
      <c r="A133" s="19"/>
      <c r="B133" s="19"/>
      <c r="C133" s="19"/>
      <c r="D133" s="19"/>
      <c r="E133" s="19"/>
      <c r="F133" s="19"/>
      <c r="G133" s="19"/>
      <c r="H133" s="20"/>
      <c r="I133" s="19"/>
      <c r="J133" s="19"/>
      <c r="K133" s="19"/>
      <c r="L133" s="21"/>
      <c r="M133" s="21"/>
      <c r="N133" s="21"/>
      <c r="O133" s="21"/>
      <c r="P133" s="21"/>
      <c r="Q133" s="21"/>
      <c r="R133" s="21"/>
      <c r="S133" s="19"/>
      <c r="T133" s="19"/>
      <c r="U133" s="19"/>
      <c r="V133" s="19"/>
      <c r="W133" s="19"/>
      <c r="X133" s="19"/>
      <c r="Y133" s="19"/>
      <c r="Z133" s="19"/>
      <c r="AA133" s="19"/>
      <c r="AB133" s="19" t="str">
        <f aca="false">IF(NOT(ISNUMBER(Q133)),"",IF(E133="organizer_case",IF(ISNUMBER(P133),ROUND((Q133-P133)*86400,0),""),IF(J133="ADVANCE",IF(ISNUMBER(O133),ROUND((Q133-MAX(O133,N133))*86400,0),""),IF(ISNUMBER(O133),ROUND((Q133-O133)*86400,0),""))))</f>
        <v/>
      </c>
      <c r="AC133" s="19" t="str">
        <f aca="false">IF(AND(ISNUMBER(Q133),ISNUMBER(R133)),ROUND(R133-Q133,2),"")</f>
        <v/>
      </c>
      <c r="AD133" s="19" t="str">
        <f aca="false">IF(AND(ISNUMBER(AB133),ISNUMBER(Z133)),AB133-Z133,"")</f>
        <v/>
      </c>
      <c r="AE133" s="19"/>
      <c r="AF133" s="19"/>
      <c r="AG133" s="22"/>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4"/>
      <c r="BH133" s="23"/>
      <c r="BI133" s="23"/>
      <c r="BJ133" s="19"/>
      <c r="BK133" s="19"/>
      <c r="BL133" s="19"/>
      <c r="BM133" s="19"/>
      <c r="BN133" s="23"/>
      <c r="BO133" s="23"/>
      <c r="BP133" s="19"/>
      <c r="BQ133" s="19"/>
      <c r="BR133" s="19"/>
      <c r="BS133" s="23"/>
    </row>
    <row r="134" customFormat="false" ht="15" hidden="false" customHeight="false" outlineLevel="0" collapsed="false">
      <c r="A134" s="19"/>
      <c r="B134" s="19"/>
      <c r="C134" s="19"/>
      <c r="D134" s="19"/>
      <c r="E134" s="19"/>
      <c r="F134" s="19"/>
      <c r="G134" s="19"/>
      <c r="H134" s="20"/>
      <c r="I134" s="19"/>
      <c r="J134" s="19"/>
      <c r="K134" s="19"/>
      <c r="L134" s="21"/>
      <c r="M134" s="21"/>
      <c r="N134" s="21"/>
      <c r="O134" s="21"/>
      <c r="P134" s="21"/>
      <c r="Q134" s="21"/>
      <c r="R134" s="21"/>
      <c r="S134" s="19"/>
      <c r="T134" s="19"/>
      <c r="U134" s="19"/>
      <c r="V134" s="19"/>
      <c r="W134" s="19"/>
      <c r="X134" s="19"/>
      <c r="Y134" s="19"/>
      <c r="Z134" s="19"/>
      <c r="AA134" s="19"/>
      <c r="AB134" s="19" t="str">
        <f aca="false">IF(NOT(ISNUMBER(Q134)),"",IF(E134="organizer_case",IF(ISNUMBER(P134),ROUND((Q134-P134)*86400,0),""),IF(J134="ADVANCE",IF(ISNUMBER(O134),ROUND((Q134-MAX(O134,N134))*86400,0),""),IF(ISNUMBER(O134),ROUND((Q134-O134)*86400,0),""))))</f>
        <v/>
      </c>
      <c r="AC134" s="19" t="str">
        <f aca="false">IF(AND(ISNUMBER(Q134),ISNUMBER(R134)),ROUND(R134-Q134,2),"")</f>
        <v/>
      </c>
      <c r="AD134" s="19" t="str">
        <f aca="false">IF(AND(ISNUMBER(AB134),ISNUMBER(Z134)),AB134-Z134,"")</f>
        <v/>
      </c>
      <c r="AE134" s="19"/>
      <c r="AF134" s="19"/>
      <c r="AG134" s="22"/>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4"/>
      <c r="BH134" s="23"/>
      <c r="BI134" s="23"/>
      <c r="BJ134" s="19"/>
      <c r="BK134" s="19"/>
      <c r="BL134" s="19"/>
      <c r="BM134" s="19"/>
      <c r="BN134" s="23"/>
      <c r="BO134" s="23"/>
      <c r="BP134" s="19"/>
      <c r="BQ134" s="19"/>
      <c r="BR134" s="19"/>
      <c r="BS134" s="23"/>
    </row>
    <row r="135" customFormat="false" ht="15" hidden="false" customHeight="false" outlineLevel="0" collapsed="false">
      <c r="A135" s="19"/>
      <c r="B135" s="19"/>
      <c r="C135" s="19"/>
      <c r="D135" s="19"/>
      <c r="E135" s="19"/>
      <c r="F135" s="19"/>
      <c r="G135" s="19"/>
      <c r="H135" s="20"/>
      <c r="I135" s="19"/>
      <c r="J135" s="19"/>
      <c r="K135" s="19"/>
      <c r="L135" s="21"/>
      <c r="M135" s="21"/>
      <c r="N135" s="21"/>
      <c r="O135" s="21"/>
      <c r="P135" s="21"/>
      <c r="Q135" s="21"/>
      <c r="R135" s="21"/>
      <c r="S135" s="19"/>
      <c r="T135" s="19"/>
      <c r="U135" s="19"/>
      <c r="V135" s="19"/>
      <c r="W135" s="19"/>
      <c r="X135" s="19"/>
      <c r="Y135" s="19"/>
      <c r="Z135" s="19"/>
      <c r="AA135" s="19"/>
      <c r="AB135" s="19" t="str">
        <f aca="false">IF(NOT(ISNUMBER(Q135)),"",IF(E135="organizer_case",IF(ISNUMBER(P135),ROUND((Q135-P135)*86400,0),""),IF(J135="ADVANCE",IF(ISNUMBER(O135),ROUND((Q135-MAX(O135,N135))*86400,0),""),IF(ISNUMBER(O135),ROUND((Q135-O135)*86400,0),""))))</f>
        <v/>
      </c>
      <c r="AC135" s="19" t="str">
        <f aca="false">IF(AND(ISNUMBER(Q135),ISNUMBER(R135)),ROUND(R135-Q135,2),"")</f>
        <v/>
      </c>
      <c r="AD135" s="19" t="str">
        <f aca="false">IF(AND(ISNUMBER(AB135),ISNUMBER(Z135)),AB135-Z135,"")</f>
        <v/>
      </c>
      <c r="AE135" s="19"/>
      <c r="AF135" s="19"/>
      <c r="AG135" s="22"/>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4"/>
      <c r="BH135" s="23"/>
      <c r="BI135" s="23"/>
      <c r="BJ135" s="19"/>
      <c r="BK135" s="19"/>
      <c r="BL135" s="19"/>
      <c r="BM135" s="19"/>
      <c r="BN135" s="23"/>
      <c r="BO135" s="23"/>
      <c r="BP135" s="19"/>
      <c r="BQ135" s="19"/>
      <c r="BR135" s="19"/>
      <c r="BS135" s="23"/>
    </row>
    <row r="136" customFormat="false" ht="15" hidden="false" customHeight="false" outlineLevel="0" collapsed="false">
      <c r="A136" s="19"/>
      <c r="B136" s="19"/>
      <c r="C136" s="19"/>
      <c r="D136" s="19"/>
      <c r="E136" s="19"/>
      <c r="F136" s="19"/>
      <c r="G136" s="19"/>
      <c r="H136" s="20"/>
      <c r="I136" s="19"/>
      <c r="J136" s="19"/>
      <c r="K136" s="19"/>
      <c r="L136" s="21"/>
      <c r="M136" s="21"/>
      <c r="N136" s="21"/>
      <c r="O136" s="21"/>
      <c r="P136" s="21"/>
      <c r="Q136" s="21"/>
      <c r="R136" s="21"/>
      <c r="S136" s="19"/>
      <c r="T136" s="19"/>
      <c r="U136" s="19"/>
      <c r="V136" s="19"/>
      <c r="W136" s="19"/>
      <c r="X136" s="19"/>
      <c r="Y136" s="19"/>
      <c r="Z136" s="19"/>
      <c r="AA136" s="19"/>
      <c r="AB136" s="19" t="str">
        <f aca="false">IF(NOT(ISNUMBER(Q136)),"",IF(E136="organizer_case",IF(ISNUMBER(P136),ROUND((Q136-P136)*86400,0),""),IF(J136="ADVANCE",IF(ISNUMBER(O136),ROUND((Q136-MAX(O136,N136))*86400,0),""),IF(ISNUMBER(O136),ROUND((Q136-O136)*86400,0),""))))</f>
        <v/>
      </c>
      <c r="AC136" s="19" t="str">
        <f aca="false">IF(AND(ISNUMBER(Q136),ISNUMBER(R136)),ROUND(R136-Q136,2),"")</f>
        <v/>
      </c>
      <c r="AD136" s="19" t="str">
        <f aca="false">IF(AND(ISNUMBER(AB136),ISNUMBER(Z136)),AB136-Z136,"")</f>
        <v/>
      </c>
      <c r="AE136" s="19"/>
      <c r="AF136" s="19"/>
      <c r="AG136" s="22"/>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4"/>
      <c r="BH136" s="23"/>
      <c r="BI136" s="23"/>
      <c r="BJ136" s="19"/>
      <c r="BK136" s="19"/>
      <c r="BL136" s="19"/>
      <c r="BM136" s="19"/>
      <c r="BN136" s="23"/>
      <c r="BO136" s="23"/>
      <c r="BP136" s="19"/>
      <c r="BQ136" s="19"/>
      <c r="BR136" s="19"/>
      <c r="BS136" s="23"/>
    </row>
    <row r="137" customFormat="false" ht="15" hidden="false" customHeight="false" outlineLevel="0" collapsed="false">
      <c r="A137" s="19"/>
      <c r="B137" s="19"/>
      <c r="C137" s="19"/>
      <c r="D137" s="19"/>
      <c r="E137" s="19"/>
      <c r="F137" s="19"/>
      <c r="G137" s="19"/>
      <c r="H137" s="20"/>
      <c r="I137" s="19"/>
      <c r="J137" s="19"/>
      <c r="K137" s="19"/>
      <c r="L137" s="21"/>
      <c r="M137" s="21"/>
      <c r="N137" s="21"/>
      <c r="O137" s="21"/>
      <c r="P137" s="21"/>
      <c r="Q137" s="21"/>
      <c r="R137" s="21"/>
      <c r="S137" s="19"/>
      <c r="T137" s="19"/>
      <c r="U137" s="19"/>
      <c r="V137" s="19"/>
      <c r="W137" s="19"/>
      <c r="X137" s="19"/>
      <c r="Y137" s="19"/>
      <c r="Z137" s="19"/>
      <c r="AA137" s="19"/>
      <c r="AB137" s="19" t="str">
        <f aca="false">IF(NOT(ISNUMBER(Q137)),"",IF(E137="organizer_case",IF(ISNUMBER(P137),ROUND((Q137-P137)*86400,0),""),IF(J137="ADVANCE",IF(ISNUMBER(O137),ROUND((Q137-MAX(O137,N137))*86400,0),""),IF(ISNUMBER(O137),ROUND((Q137-O137)*86400,0),""))))</f>
        <v/>
      </c>
      <c r="AC137" s="19" t="str">
        <f aca="false">IF(AND(ISNUMBER(Q137),ISNUMBER(R137)),ROUND(R137-Q137,2),"")</f>
        <v/>
      </c>
      <c r="AD137" s="19" t="str">
        <f aca="false">IF(AND(ISNUMBER(AB137),ISNUMBER(Z137)),AB137-Z137,"")</f>
        <v/>
      </c>
      <c r="AE137" s="19"/>
      <c r="AF137" s="19"/>
      <c r="AG137" s="22"/>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4"/>
      <c r="BH137" s="23"/>
      <c r="BI137" s="23"/>
      <c r="BJ137" s="19"/>
      <c r="BK137" s="19"/>
      <c r="BL137" s="19"/>
      <c r="BM137" s="19"/>
      <c r="BN137" s="23"/>
      <c r="BO137" s="23"/>
      <c r="BP137" s="19"/>
      <c r="BQ137" s="19"/>
      <c r="BR137" s="19"/>
      <c r="BS137" s="23"/>
    </row>
    <row r="138" customFormat="false" ht="15" hidden="false" customHeight="false" outlineLevel="0" collapsed="false">
      <c r="A138" s="19"/>
      <c r="B138" s="19"/>
      <c r="C138" s="19"/>
      <c r="D138" s="19"/>
      <c r="E138" s="19"/>
      <c r="F138" s="19"/>
      <c r="G138" s="19"/>
      <c r="H138" s="20"/>
      <c r="I138" s="19"/>
      <c r="J138" s="19"/>
      <c r="K138" s="19"/>
      <c r="L138" s="21"/>
      <c r="M138" s="21"/>
      <c r="N138" s="21"/>
      <c r="O138" s="21"/>
      <c r="P138" s="21"/>
      <c r="Q138" s="21"/>
      <c r="R138" s="21"/>
      <c r="S138" s="19"/>
      <c r="T138" s="19"/>
      <c r="U138" s="19"/>
      <c r="V138" s="19"/>
      <c r="W138" s="19"/>
      <c r="X138" s="19"/>
      <c r="Y138" s="19"/>
      <c r="Z138" s="19"/>
      <c r="AA138" s="19"/>
      <c r="AB138" s="19" t="str">
        <f aca="false">IF(NOT(ISNUMBER(Q138)),"",IF(E138="organizer_case",IF(ISNUMBER(P138),ROUND((Q138-P138)*86400,0),""),IF(J138="ADVANCE",IF(ISNUMBER(O138),ROUND((Q138-MAX(O138,N138))*86400,0),""),IF(ISNUMBER(O138),ROUND((Q138-O138)*86400,0),""))))</f>
        <v/>
      </c>
      <c r="AC138" s="19" t="str">
        <f aca="false">IF(AND(ISNUMBER(Q138),ISNUMBER(R138)),ROUND(R138-Q138,2),"")</f>
        <v/>
      </c>
      <c r="AD138" s="19" t="str">
        <f aca="false">IF(AND(ISNUMBER(AB138),ISNUMBER(Z138)),AB138-Z138,"")</f>
        <v/>
      </c>
      <c r="AE138" s="19"/>
      <c r="AF138" s="19"/>
      <c r="AG138" s="22"/>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4"/>
      <c r="BH138" s="23"/>
      <c r="BI138" s="23"/>
      <c r="BJ138" s="19"/>
      <c r="BK138" s="19"/>
      <c r="BL138" s="19"/>
      <c r="BM138" s="19"/>
      <c r="BN138" s="23"/>
      <c r="BO138" s="23"/>
      <c r="BP138" s="19"/>
      <c r="BQ138" s="19"/>
      <c r="BR138" s="19"/>
      <c r="BS138" s="23"/>
    </row>
    <row r="139" customFormat="false" ht="15" hidden="false" customHeight="false" outlineLevel="0" collapsed="false">
      <c r="A139" s="19"/>
      <c r="B139" s="19"/>
      <c r="C139" s="19"/>
      <c r="D139" s="19"/>
      <c r="E139" s="19"/>
      <c r="F139" s="19"/>
      <c r="G139" s="19"/>
      <c r="H139" s="20"/>
      <c r="I139" s="19"/>
      <c r="J139" s="19"/>
      <c r="K139" s="19"/>
      <c r="L139" s="21"/>
      <c r="M139" s="21"/>
      <c r="N139" s="21"/>
      <c r="O139" s="21"/>
      <c r="P139" s="21"/>
      <c r="Q139" s="21"/>
      <c r="R139" s="21"/>
      <c r="S139" s="19"/>
      <c r="T139" s="19"/>
      <c r="U139" s="19"/>
      <c r="V139" s="19"/>
      <c r="W139" s="19"/>
      <c r="X139" s="19"/>
      <c r="Y139" s="19"/>
      <c r="Z139" s="19"/>
      <c r="AA139" s="19"/>
      <c r="AB139" s="19" t="str">
        <f aca="false">IF(NOT(ISNUMBER(Q139)),"",IF(E139="organizer_case",IF(ISNUMBER(P139),ROUND((Q139-P139)*86400,0),""),IF(J139="ADVANCE",IF(ISNUMBER(O139),ROUND((Q139-MAX(O139,N139))*86400,0),""),IF(ISNUMBER(O139),ROUND((Q139-O139)*86400,0),""))))</f>
        <v/>
      </c>
      <c r="AC139" s="19" t="str">
        <f aca="false">IF(AND(ISNUMBER(Q139),ISNUMBER(R139)),ROUND(R139-Q139,2),"")</f>
        <v/>
      </c>
      <c r="AD139" s="19" t="str">
        <f aca="false">IF(AND(ISNUMBER(AB139),ISNUMBER(Z139)),AB139-Z139,"")</f>
        <v/>
      </c>
      <c r="AE139" s="19"/>
      <c r="AF139" s="19"/>
      <c r="AG139" s="22"/>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4"/>
      <c r="BH139" s="23"/>
      <c r="BI139" s="23"/>
      <c r="BJ139" s="19"/>
      <c r="BK139" s="19"/>
      <c r="BL139" s="19"/>
      <c r="BM139" s="19"/>
      <c r="BN139" s="23"/>
      <c r="BO139" s="23"/>
      <c r="BP139" s="19"/>
      <c r="BQ139" s="19"/>
      <c r="BR139" s="19"/>
      <c r="BS139" s="23"/>
    </row>
    <row r="140" customFormat="false" ht="15" hidden="false" customHeight="false" outlineLevel="0" collapsed="false">
      <c r="A140" s="19"/>
      <c r="B140" s="19"/>
      <c r="C140" s="19"/>
      <c r="D140" s="19"/>
      <c r="E140" s="19"/>
      <c r="F140" s="19"/>
      <c r="G140" s="19"/>
      <c r="H140" s="20"/>
      <c r="I140" s="19"/>
      <c r="J140" s="19"/>
      <c r="K140" s="19"/>
      <c r="L140" s="21"/>
      <c r="M140" s="21"/>
      <c r="N140" s="21"/>
      <c r="O140" s="21"/>
      <c r="P140" s="21"/>
      <c r="Q140" s="21"/>
      <c r="R140" s="21"/>
      <c r="S140" s="19"/>
      <c r="T140" s="19"/>
      <c r="U140" s="19"/>
      <c r="V140" s="19"/>
      <c r="W140" s="19"/>
      <c r="X140" s="19"/>
      <c r="Y140" s="19"/>
      <c r="Z140" s="19"/>
      <c r="AA140" s="19"/>
      <c r="AB140" s="19" t="str">
        <f aca="false">IF(NOT(ISNUMBER(Q140)),"",IF(E140="organizer_case",IF(ISNUMBER(P140),ROUND((Q140-P140)*86400,0),""),IF(J140="ADVANCE",IF(ISNUMBER(O140),ROUND((Q140-MAX(O140,N140))*86400,0),""),IF(ISNUMBER(O140),ROUND((Q140-O140)*86400,0),""))))</f>
        <v/>
      </c>
      <c r="AC140" s="19" t="str">
        <f aca="false">IF(AND(ISNUMBER(Q140),ISNUMBER(R140)),ROUND(R140-Q140,2),"")</f>
        <v/>
      </c>
      <c r="AD140" s="19" t="str">
        <f aca="false">IF(AND(ISNUMBER(AB140),ISNUMBER(Z140)),AB140-Z140,"")</f>
        <v/>
      </c>
      <c r="AE140" s="19"/>
      <c r="AF140" s="19"/>
      <c r="AG140" s="22"/>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4"/>
      <c r="BH140" s="23"/>
      <c r="BI140" s="23"/>
      <c r="BJ140" s="19"/>
      <c r="BK140" s="19"/>
      <c r="BL140" s="19"/>
      <c r="BM140" s="19"/>
      <c r="BN140" s="23"/>
      <c r="BO140" s="23"/>
      <c r="BP140" s="19"/>
      <c r="BQ140" s="19"/>
      <c r="BR140" s="19"/>
      <c r="BS140" s="23"/>
    </row>
    <row r="141" customFormat="false" ht="15" hidden="false" customHeight="false" outlineLevel="0" collapsed="false">
      <c r="A141" s="19"/>
      <c r="B141" s="19"/>
      <c r="C141" s="19"/>
      <c r="D141" s="19"/>
      <c r="E141" s="19"/>
      <c r="F141" s="19"/>
      <c r="G141" s="19"/>
      <c r="H141" s="20"/>
      <c r="I141" s="19"/>
      <c r="J141" s="19"/>
      <c r="K141" s="19"/>
      <c r="L141" s="21"/>
      <c r="M141" s="21"/>
      <c r="N141" s="21"/>
      <c r="O141" s="21"/>
      <c r="P141" s="21"/>
      <c r="Q141" s="21"/>
      <c r="R141" s="21"/>
      <c r="S141" s="19"/>
      <c r="T141" s="19"/>
      <c r="U141" s="19"/>
      <c r="V141" s="19"/>
      <c r="W141" s="19"/>
      <c r="X141" s="19"/>
      <c r="Y141" s="19"/>
      <c r="Z141" s="19"/>
      <c r="AA141" s="19"/>
      <c r="AB141" s="19" t="str">
        <f aca="false">IF(NOT(ISNUMBER(Q141)),"",IF(E141="organizer_case",IF(ISNUMBER(P141),ROUND((Q141-P141)*86400,0),""),IF(J141="ADVANCE",IF(ISNUMBER(O141),ROUND((Q141-MAX(O141,N141))*86400,0),""),IF(ISNUMBER(O141),ROUND((Q141-O141)*86400,0),""))))</f>
        <v/>
      </c>
      <c r="AC141" s="19" t="str">
        <f aca="false">IF(AND(ISNUMBER(Q141),ISNUMBER(R141)),ROUND(R141-Q141,2),"")</f>
        <v/>
      </c>
      <c r="AD141" s="19" t="str">
        <f aca="false">IF(AND(ISNUMBER(AB141),ISNUMBER(Z141)),AB141-Z141,"")</f>
        <v/>
      </c>
      <c r="AE141" s="19"/>
      <c r="AF141" s="19"/>
      <c r="AG141" s="22"/>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4"/>
      <c r="BH141" s="23"/>
      <c r="BI141" s="23"/>
      <c r="BJ141" s="19"/>
      <c r="BK141" s="19"/>
      <c r="BL141" s="19"/>
      <c r="BM141" s="19"/>
      <c r="BN141" s="23"/>
      <c r="BO141" s="23"/>
      <c r="BP141" s="19"/>
      <c r="BQ141" s="19"/>
      <c r="BR141" s="19"/>
      <c r="BS141" s="23"/>
    </row>
    <row r="142" customFormat="false" ht="15" hidden="false" customHeight="false" outlineLevel="0" collapsed="false">
      <c r="A142" s="19"/>
      <c r="B142" s="19"/>
      <c r="C142" s="19"/>
      <c r="D142" s="19"/>
      <c r="E142" s="19"/>
      <c r="F142" s="19"/>
      <c r="G142" s="19"/>
      <c r="H142" s="20"/>
      <c r="I142" s="19"/>
      <c r="J142" s="19"/>
      <c r="K142" s="19"/>
      <c r="L142" s="21"/>
      <c r="M142" s="21"/>
      <c r="N142" s="21"/>
      <c r="O142" s="21"/>
      <c r="P142" s="21"/>
      <c r="Q142" s="21"/>
      <c r="R142" s="21"/>
      <c r="S142" s="19"/>
      <c r="T142" s="19"/>
      <c r="U142" s="19"/>
      <c r="V142" s="19"/>
      <c r="W142" s="19"/>
      <c r="X142" s="19"/>
      <c r="Y142" s="19"/>
      <c r="Z142" s="19"/>
      <c r="AA142" s="19"/>
      <c r="AB142" s="19" t="str">
        <f aca="false">IF(NOT(ISNUMBER(Q142)),"",IF(E142="organizer_case",IF(ISNUMBER(P142),ROUND((Q142-P142)*86400,0),""),IF(J142="ADVANCE",IF(ISNUMBER(O142),ROUND((Q142-MAX(O142,N142))*86400,0),""),IF(ISNUMBER(O142),ROUND((Q142-O142)*86400,0),""))))</f>
        <v/>
      </c>
      <c r="AC142" s="19" t="str">
        <f aca="false">IF(AND(ISNUMBER(Q142),ISNUMBER(R142)),ROUND(R142-Q142,2),"")</f>
        <v/>
      </c>
      <c r="AD142" s="19" t="str">
        <f aca="false">IF(AND(ISNUMBER(AB142),ISNUMBER(Z142)),AB142-Z142,"")</f>
        <v/>
      </c>
      <c r="AE142" s="19"/>
      <c r="AF142" s="19"/>
      <c r="AG142" s="22"/>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4"/>
      <c r="BH142" s="23"/>
      <c r="BI142" s="23"/>
      <c r="BJ142" s="19"/>
      <c r="BK142" s="19"/>
      <c r="BL142" s="19"/>
      <c r="BM142" s="19"/>
      <c r="BN142" s="23"/>
      <c r="BO142" s="23"/>
      <c r="BP142" s="19"/>
      <c r="BQ142" s="19"/>
      <c r="BR142" s="19"/>
      <c r="BS142" s="23"/>
    </row>
    <row r="143" customFormat="false" ht="15" hidden="false" customHeight="false" outlineLevel="0" collapsed="false">
      <c r="A143" s="19"/>
      <c r="B143" s="19"/>
      <c r="C143" s="19"/>
      <c r="D143" s="19"/>
      <c r="E143" s="19"/>
      <c r="F143" s="19"/>
      <c r="G143" s="19"/>
      <c r="H143" s="20"/>
      <c r="I143" s="19"/>
      <c r="J143" s="19"/>
      <c r="K143" s="19"/>
      <c r="L143" s="21"/>
      <c r="M143" s="21"/>
      <c r="N143" s="21"/>
      <c r="O143" s="21"/>
      <c r="P143" s="21"/>
      <c r="Q143" s="21"/>
      <c r="R143" s="21"/>
      <c r="S143" s="19"/>
      <c r="T143" s="19"/>
      <c r="U143" s="19"/>
      <c r="V143" s="19"/>
      <c r="W143" s="19"/>
      <c r="X143" s="19"/>
      <c r="Y143" s="19"/>
      <c r="Z143" s="19"/>
      <c r="AA143" s="19"/>
      <c r="AB143" s="19" t="str">
        <f aca="false">IF(NOT(ISNUMBER(Q143)),"",IF(E143="organizer_case",IF(ISNUMBER(P143),ROUND((Q143-P143)*86400,0),""),IF(J143="ADVANCE",IF(ISNUMBER(O143),ROUND((Q143-MAX(O143,N143))*86400,0),""),IF(ISNUMBER(O143),ROUND((Q143-O143)*86400,0),""))))</f>
        <v/>
      </c>
      <c r="AC143" s="19" t="str">
        <f aca="false">IF(AND(ISNUMBER(Q143),ISNUMBER(R143)),ROUND(R143-Q143,2),"")</f>
        <v/>
      </c>
      <c r="AD143" s="19" t="str">
        <f aca="false">IF(AND(ISNUMBER(AB143),ISNUMBER(Z143)),AB143-Z143,"")</f>
        <v/>
      </c>
      <c r="AE143" s="19"/>
      <c r="AF143" s="19"/>
      <c r="AG143" s="22"/>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4"/>
      <c r="BH143" s="23"/>
      <c r="BI143" s="23"/>
      <c r="BJ143" s="19"/>
      <c r="BK143" s="19"/>
      <c r="BL143" s="19"/>
      <c r="BM143" s="19"/>
      <c r="BN143" s="23"/>
      <c r="BO143" s="23"/>
      <c r="BP143" s="19"/>
      <c r="BQ143" s="19"/>
      <c r="BR143" s="19"/>
      <c r="BS143" s="23"/>
    </row>
    <row r="144" customFormat="false" ht="15" hidden="false" customHeight="false" outlineLevel="0" collapsed="false">
      <c r="A144" s="19"/>
      <c r="B144" s="19"/>
      <c r="C144" s="19"/>
      <c r="D144" s="19"/>
      <c r="E144" s="19"/>
      <c r="F144" s="19"/>
      <c r="G144" s="19"/>
      <c r="H144" s="20"/>
      <c r="I144" s="19"/>
      <c r="J144" s="19"/>
      <c r="K144" s="19"/>
      <c r="L144" s="21"/>
      <c r="M144" s="21"/>
      <c r="N144" s="21"/>
      <c r="O144" s="21"/>
      <c r="P144" s="21"/>
      <c r="Q144" s="21"/>
      <c r="R144" s="21"/>
      <c r="S144" s="19"/>
      <c r="T144" s="19"/>
      <c r="U144" s="19"/>
      <c r="V144" s="19"/>
      <c r="W144" s="19"/>
      <c r="X144" s="19"/>
      <c r="Y144" s="19"/>
      <c r="Z144" s="19"/>
      <c r="AA144" s="19"/>
      <c r="AB144" s="19" t="str">
        <f aca="false">IF(NOT(ISNUMBER(Q144)),"",IF(E144="organizer_case",IF(ISNUMBER(P144),ROUND((Q144-P144)*86400,0),""),IF(J144="ADVANCE",IF(ISNUMBER(O144),ROUND((Q144-MAX(O144,N144))*86400,0),""),IF(ISNUMBER(O144),ROUND((Q144-O144)*86400,0),""))))</f>
        <v/>
      </c>
      <c r="AC144" s="19" t="str">
        <f aca="false">IF(AND(ISNUMBER(Q144),ISNUMBER(R144)),ROUND(R144-Q144,2),"")</f>
        <v/>
      </c>
      <c r="AD144" s="19" t="str">
        <f aca="false">IF(AND(ISNUMBER(AB144),ISNUMBER(Z144)),AB144-Z144,"")</f>
        <v/>
      </c>
      <c r="AE144" s="19"/>
      <c r="AF144" s="19"/>
      <c r="AG144" s="22"/>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4"/>
      <c r="BH144" s="23"/>
      <c r="BI144" s="23"/>
      <c r="BJ144" s="19"/>
      <c r="BK144" s="19"/>
      <c r="BL144" s="19"/>
      <c r="BM144" s="19"/>
      <c r="BN144" s="23"/>
      <c r="BO144" s="23"/>
      <c r="BP144" s="19"/>
      <c r="BQ144" s="19"/>
      <c r="BR144" s="19"/>
      <c r="BS144" s="23"/>
    </row>
    <row r="145" customFormat="false" ht="15" hidden="false" customHeight="false" outlineLevel="0" collapsed="false">
      <c r="A145" s="19"/>
      <c r="B145" s="19"/>
      <c r="C145" s="19"/>
      <c r="D145" s="19"/>
      <c r="E145" s="19"/>
      <c r="F145" s="19"/>
      <c r="G145" s="19"/>
      <c r="H145" s="20"/>
      <c r="I145" s="19"/>
      <c r="J145" s="19"/>
      <c r="K145" s="19"/>
      <c r="L145" s="21"/>
      <c r="M145" s="21"/>
      <c r="N145" s="21"/>
      <c r="O145" s="21"/>
      <c r="P145" s="21"/>
      <c r="Q145" s="21"/>
      <c r="R145" s="21"/>
      <c r="S145" s="19"/>
      <c r="T145" s="19"/>
      <c r="U145" s="19"/>
      <c r="V145" s="19"/>
      <c r="W145" s="19"/>
      <c r="X145" s="19"/>
      <c r="Y145" s="19"/>
      <c r="Z145" s="19"/>
      <c r="AA145" s="19"/>
      <c r="AB145" s="19" t="str">
        <f aca="false">IF(NOT(ISNUMBER(Q145)),"",IF(E145="organizer_case",IF(ISNUMBER(P145),ROUND((Q145-P145)*86400,0),""),IF(J145="ADVANCE",IF(ISNUMBER(O145),ROUND((Q145-MAX(O145,N145))*86400,0),""),IF(ISNUMBER(O145),ROUND((Q145-O145)*86400,0),""))))</f>
        <v/>
      </c>
      <c r="AC145" s="19" t="str">
        <f aca="false">IF(AND(ISNUMBER(Q145),ISNUMBER(R145)),ROUND(R145-Q145,2),"")</f>
        <v/>
      </c>
      <c r="AD145" s="19" t="str">
        <f aca="false">IF(AND(ISNUMBER(AB145),ISNUMBER(Z145)),AB145-Z145,"")</f>
        <v/>
      </c>
      <c r="AE145" s="19"/>
      <c r="AF145" s="19"/>
      <c r="AG145" s="22"/>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4"/>
      <c r="BH145" s="23"/>
      <c r="BI145" s="23"/>
      <c r="BJ145" s="19"/>
      <c r="BK145" s="19"/>
      <c r="BL145" s="19"/>
      <c r="BM145" s="19"/>
      <c r="BN145" s="23"/>
      <c r="BO145" s="23"/>
      <c r="BP145" s="19"/>
      <c r="BQ145" s="19"/>
      <c r="BR145" s="19"/>
      <c r="BS145" s="23"/>
    </row>
    <row r="146" customFormat="false" ht="15" hidden="false" customHeight="false" outlineLevel="0" collapsed="false">
      <c r="A146" s="19"/>
      <c r="B146" s="19"/>
      <c r="C146" s="19"/>
      <c r="D146" s="19"/>
      <c r="E146" s="19"/>
      <c r="F146" s="19"/>
      <c r="G146" s="19"/>
      <c r="H146" s="20"/>
      <c r="I146" s="19"/>
      <c r="J146" s="19"/>
      <c r="K146" s="19"/>
      <c r="L146" s="21"/>
      <c r="M146" s="21"/>
      <c r="N146" s="21"/>
      <c r="O146" s="21"/>
      <c r="P146" s="21"/>
      <c r="Q146" s="21"/>
      <c r="R146" s="21"/>
      <c r="S146" s="19"/>
      <c r="T146" s="19"/>
      <c r="U146" s="19"/>
      <c r="V146" s="19"/>
      <c r="W146" s="19"/>
      <c r="X146" s="19"/>
      <c r="Y146" s="19"/>
      <c r="Z146" s="19"/>
      <c r="AA146" s="19"/>
      <c r="AB146" s="19" t="str">
        <f aca="false">IF(NOT(ISNUMBER(Q146)),"",IF(E146="organizer_case",IF(ISNUMBER(P146),ROUND((Q146-P146)*86400,0),""),IF(J146="ADVANCE",IF(ISNUMBER(O146),ROUND((Q146-MAX(O146,N146))*86400,0),""),IF(ISNUMBER(O146),ROUND((Q146-O146)*86400,0),""))))</f>
        <v/>
      </c>
      <c r="AC146" s="19" t="str">
        <f aca="false">IF(AND(ISNUMBER(Q146),ISNUMBER(R146)),ROUND(R146-Q146,2),"")</f>
        <v/>
      </c>
      <c r="AD146" s="19" t="str">
        <f aca="false">IF(AND(ISNUMBER(AB146),ISNUMBER(Z146)),AB146-Z146,"")</f>
        <v/>
      </c>
      <c r="AE146" s="19"/>
      <c r="AF146" s="19"/>
      <c r="AG146" s="22"/>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4"/>
      <c r="BH146" s="23"/>
      <c r="BI146" s="23"/>
      <c r="BJ146" s="19"/>
      <c r="BK146" s="19"/>
      <c r="BL146" s="19"/>
      <c r="BM146" s="19"/>
      <c r="BN146" s="23"/>
      <c r="BO146" s="23"/>
      <c r="BP146" s="19"/>
      <c r="BQ146" s="19"/>
      <c r="BR146" s="19"/>
      <c r="BS146" s="23"/>
    </row>
    <row r="147" customFormat="false" ht="15" hidden="false" customHeight="false" outlineLevel="0" collapsed="false">
      <c r="A147" s="19"/>
      <c r="B147" s="19"/>
      <c r="C147" s="19"/>
      <c r="D147" s="19"/>
      <c r="E147" s="19"/>
      <c r="F147" s="19"/>
      <c r="G147" s="19"/>
      <c r="H147" s="20"/>
      <c r="I147" s="19"/>
      <c r="J147" s="19"/>
      <c r="K147" s="19"/>
      <c r="L147" s="21"/>
      <c r="M147" s="21"/>
      <c r="N147" s="21"/>
      <c r="O147" s="21"/>
      <c r="P147" s="21"/>
      <c r="Q147" s="21"/>
      <c r="R147" s="21"/>
      <c r="S147" s="19"/>
      <c r="T147" s="19"/>
      <c r="U147" s="19"/>
      <c r="V147" s="19"/>
      <c r="W147" s="19"/>
      <c r="X147" s="19"/>
      <c r="Y147" s="19"/>
      <c r="Z147" s="19"/>
      <c r="AA147" s="19"/>
      <c r="AB147" s="19" t="str">
        <f aca="false">IF(NOT(ISNUMBER(Q147)),"",IF(E147="organizer_case",IF(ISNUMBER(P147),ROUND((Q147-P147)*86400,0),""),IF(J147="ADVANCE",IF(ISNUMBER(O147),ROUND((Q147-MAX(O147,N147))*86400,0),""),IF(ISNUMBER(O147),ROUND((Q147-O147)*86400,0),""))))</f>
        <v/>
      </c>
      <c r="AC147" s="19" t="str">
        <f aca="false">IF(AND(ISNUMBER(Q147),ISNUMBER(R147)),ROUND(R147-Q147,2),"")</f>
        <v/>
      </c>
      <c r="AD147" s="19" t="str">
        <f aca="false">IF(AND(ISNUMBER(AB147),ISNUMBER(Z147)),AB147-Z147,"")</f>
        <v/>
      </c>
      <c r="AE147" s="19"/>
      <c r="AF147" s="19"/>
      <c r="AG147" s="22"/>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4"/>
      <c r="BH147" s="23"/>
      <c r="BI147" s="23"/>
      <c r="BJ147" s="19"/>
      <c r="BK147" s="19"/>
      <c r="BL147" s="19"/>
      <c r="BM147" s="19"/>
      <c r="BN147" s="23"/>
      <c r="BO147" s="23"/>
      <c r="BP147" s="19"/>
      <c r="BQ147" s="19"/>
      <c r="BR147" s="19"/>
      <c r="BS147" s="23"/>
    </row>
    <row r="148" customFormat="false" ht="15" hidden="false" customHeight="false" outlineLevel="0" collapsed="false">
      <c r="A148" s="19"/>
      <c r="B148" s="19"/>
      <c r="C148" s="19"/>
      <c r="D148" s="19"/>
      <c r="E148" s="19"/>
      <c r="F148" s="19"/>
      <c r="G148" s="19"/>
      <c r="H148" s="20"/>
      <c r="I148" s="19"/>
      <c r="J148" s="19"/>
      <c r="K148" s="19"/>
      <c r="L148" s="21"/>
      <c r="M148" s="21"/>
      <c r="N148" s="21"/>
      <c r="O148" s="21"/>
      <c r="P148" s="21"/>
      <c r="Q148" s="21"/>
      <c r="R148" s="21"/>
      <c r="S148" s="19"/>
      <c r="T148" s="19"/>
      <c r="U148" s="19"/>
      <c r="V148" s="19"/>
      <c r="W148" s="19"/>
      <c r="X148" s="19"/>
      <c r="Y148" s="19"/>
      <c r="Z148" s="19"/>
      <c r="AA148" s="19"/>
      <c r="AB148" s="19" t="str">
        <f aca="false">IF(NOT(ISNUMBER(Q148)),"",IF(E148="organizer_case",IF(ISNUMBER(P148),ROUND((Q148-P148)*86400,0),""),IF(J148="ADVANCE",IF(ISNUMBER(O148),ROUND((Q148-MAX(O148,N148))*86400,0),""),IF(ISNUMBER(O148),ROUND((Q148-O148)*86400,0),""))))</f>
        <v/>
      </c>
      <c r="AC148" s="19" t="str">
        <f aca="false">IF(AND(ISNUMBER(Q148),ISNUMBER(R148)),ROUND(R148-Q148,2),"")</f>
        <v/>
      </c>
      <c r="AD148" s="19" t="str">
        <f aca="false">IF(AND(ISNUMBER(AB148),ISNUMBER(Z148)),AB148-Z148,"")</f>
        <v/>
      </c>
      <c r="AE148" s="19"/>
      <c r="AF148" s="19"/>
      <c r="AG148" s="22"/>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4"/>
      <c r="BH148" s="23"/>
      <c r="BI148" s="23"/>
      <c r="BJ148" s="19"/>
      <c r="BK148" s="19"/>
      <c r="BL148" s="19"/>
      <c r="BM148" s="19"/>
      <c r="BN148" s="23"/>
      <c r="BO148" s="23"/>
      <c r="BP148" s="19"/>
      <c r="BQ148" s="19"/>
      <c r="BR148" s="19"/>
      <c r="BS148" s="23"/>
    </row>
    <row r="149" customFormat="false" ht="15" hidden="false" customHeight="false" outlineLevel="0" collapsed="false">
      <c r="A149" s="19"/>
      <c r="B149" s="19"/>
      <c r="C149" s="19"/>
      <c r="D149" s="19"/>
      <c r="E149" s="19"/>
      <c r="F149" s="19"/>
      <c r="G149" s="19"/>
      <c r="H149" s="20"/>
      <c r="I149" s="19"/>
      <c r="J149" s="19"/>
      <c r="K149" s="19"/>
      <c r="L149" s="21"/>
      <c r="M149" s="21"/>
      <c r="N149" s="21"/>
      <c r="O149" s="21"/>
      <c r="P149" s="21"/>
      <c r="Q149" s="21"/>
      <c r="R149" s="21"/>
      <c r="S149" s="19"/>
      <c r="T149" s="19"/>
      <c r="U149" s="19"/>
      <c r="V149" s="19"/>
      <c r="W149" s="19"/>
      <c r="X149" s="19"/>
      <c r="Y149" s="19"/>
      <c r="Z149" s="19"/>
      <c r="AA149" s="19"/>
      <c r="AB149" s="19" t="str">
        <f aca="false">IF(NOT(ISNUMBER(Q149)),"",IF(E149="organizer_case",IF(ISNUMBER(P149),ROUND((Q149-P149)*86400,0),""),IF(J149="ADVANCE",IF(ISNUMBER(O149),ROUND((Q149-MAX(O149,N149))*86400,0),""),IF(ISNUMBER(O149),ROUND((Q149-O149)*86400,0),""))))</f>
        <v/>
      </c>
      <c r="AC149" s="19" t="str">
        <f aca="false">IF(AND(ISNUMBER(Q149),ISNUMBER(R149)),ROUND(R149-Q149,2),"")</f>
        <v/>
      </c>
      <c r="AD149" s="19" t="str">
        <f aca="false">IF(AND(ISNUMBER(AB149),ISNUMBER(Z149)),AB149-Z149,"")</f>
        <v/>
      </c>
      <c r="AE149" s="19"/>
      <c r="AF149" s="19"/>
      <c r="AG149" s="22"/>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4"/>
      <c r="BH149" s="23"/>
      <c r="BI149" s="23"/>
      <c r="BJ149" s="19"/>
      <c r="BK149" s="19"/>
      <c r="BL149" s="19"/>
      <c r="BM149" s="19"/>
      <c r="BN149" s="23"/>
      <c r="BO149" s="23"/>
      <c r="BP149" s="19"/>
      <c r="BQ149" s="19"/>
      <c r="BR149" s="19"/>
      <c r="BS149" s="23"/>
    </row>
    <row r="150" customFormat="false" ht="15" hidden="false" customHeight="false" outlineLevel="0" collapsed="false">
      <c r="A150" s="19"/>
      <c r="B150" s="19"/>
      <c r="C150" s="19"/>
      <c r="D150" s="19"/>
      <c r="E150" s="19"/>
      <c r="F150" s="19"/>
      <c r="G150" s="19"/>
      <c r="H150" s="20"/>
      <c r="I150" s="19"/>
      <c r="J150" s="19"/>
      <c r="K150" s="19"/>
      <c r="L150" s="21"/>
      <c r="M150" s="21"/>
      <c r="N150" s="21"/>
      <c r="O150" s="21"/>
      <c r="P150" s="21"/>
      <c r="Q150" s="21"/>
      <c r="R150" s="21"/>
      <c r="S150" s="19"/>
      <c r="T150" s="19"/>
      <c r="U150" s="19"/>
      <c r="V150" s="19"/>
      <c r="W150" s="19"/>
      <c r="X150" s="19"/>
      <c r="Y150" s="19"/>
      <c r="Z150" s="19"/>
      <c r="AA150" s="19"/>
      <c r="AB150" s="19" t="str">
        <f aca="false">IF(NOT(ISNUMBER(Q150)),"",IF(E150="organizer_case",IF(ISNUMBER(P150),ROUND((Q150-P150)*86400,0),""),IF(J150="ADVANCE",IF(ISNUMBER(O150),ROUND((Q150-MAX(O150,N150))*86400,0),""),IF(ISNUMBER(O150),ROUND((Q150-O150)*86400,0),""))))</f>
        <v/>
      </c>
      <c r="AC150" s="19" t="str">
        <f aca="false">IF(AND(ISNUMBER(Q150),ISNUMBER(R150)),ROUND(R150-Q150,2),"")</f>
        <v/>
      </c>
      <c r="AD150" s="19" t="str">
        <f aca="false">IF(AND(ISNUMBER(AB150),ISNUMBER(Z150)),AB150-Z150,"")</f>
        <v/>
      </c>
      <c r="AE150" s="19"/>
      <c r="AF150" s="19"/>
      <c r="AG150" s="22"/>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4"/>
      <c r="BH150" s="23"/>
      <c r="BI150" s="23"/>
      <c r="BJ150" s="19"/>
      <c r="BK150" s="19"/>
      <c r="BL150" s="19"/>
      <c r="BM150" s="19"/>
      <c r="BN150" s="23"/>
      <c r="BO150" s="23"/>
      <c r="BP150" s="19"/>
      <c r="BQ150" s="19"/>
      <c r="BR150" s="19"/>
      <c r="BS150" s="23"/>
    </row>
    <row r="151" customFormat="false" ht="15" hidden="false" customHeight="false" outlineLevel="0" collapsed="false">
      <c r="A151" s="19"/>
      <c r="B151" s="19"/>
      <c r="C151" s="19"/>
      <c r="D151" s="19"/>
      <c r="E151" s="19"/>
      <c r="F151" s="19"/>
      <c r="G151" s="19"/>
      <c r="H151" s="20"/>
      <c r="I151" s="19"/>
      <c r="J151" s="19"/>
      <c r="K151" s="19"/>
      <c r="L151" s="21"/>
      <c r="M151" s="21"/>
      <c r="N151" s="21"/>
      <c r="O151" s="21"/>
      <c r="P151" s="21"/>
      <c r="Q151" s="21"/>
      <c r="R151" s="21"/>
      <c r="S151" s="19"/>
      <c r="T151" s="19"/>
      <c r="U151" s="19"/>
      <c r="V151" s="19"/>
      <c r="W151" s="19"/>
      <c r="X151" s="19"/>
      <c r="Y151" s="19"/>
      <c r="Z151" s="19"/>
      <c r="AA151" s="19"/>
      <c r="AB151" s="19" t="str">
        <f aca="false">IF(NOT(ISNUMBER(Q151)),"",IF(E151="organizer_case",IF(ISNUMBER(P151),ROUND((Q151-P151)*86400,0),""),IF(J151="ADVANCE",IF(ISNUMBER(O151),ROUND((Q151-MAX(O151,N151))*86400,0),""),IF(ISNUMBER(O151),ROUND((Q151-O151)*86400,0),""))))</f>
        <v/>
      </c>
      <c r="AC151" s="19" t="str">
        <f aca="false">IF(AND(ISNUMBER(Q151),ISNUMBER(R151)),ROUND(R151-Q151,2),"")</f>
        <v/>
      </c>
      <c r="AD151" s="19" t="str">
        <f aca="false">IF(AND(ISNUMBER(AB151),ISNUMBER(Z151)),AB151-Z151,"")</f>
        <v/>
      </c>
      <c r="AE151" s="19"/>
      <c r="AF151" s="19"/>
      <c r="AG151" s="22"/>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4"/>
      <c r="BH151" s="23"/>
      <c r="BI151" s="23"/>
      <c r="BJ151" s="19"/>
      <c r="BK151" s="19"/>
      <c r="BL151" s="19"/>
      <c r="BM151" s="19"/>
      <c r="BN151" s="23"/>
      <c r="BO151" s="23"/>
      <c r="BP151" s="19"/>
      <c r="BQ151" s="19"/>
      <c r="BR151" s="19"/>
      <c r="BS151" s="23"/>
    </row>
    <row r="152" customFormat="false" ht="15" hidden="false" customHeight="false" outlineLevel="0" collapsed="false">
      <c r="A152" s="19"/>
      <c r="B152" s="19"/>
      <c r="C152" s="19"/>
      <c r="D152" s="19"/>
      <c r="E152" s="19"/>
      <c r="F152" s="19"/>
      <c r="G152" s="19"/>
      <c r="H152" s="20"/>
      <c r="I152" s="19"/>
      <c r="J152" s="19"/>
      <c r="K152" s="19"/>
      <c r="L152" s="21"/>
      <c r="M152" s="21"/>
      <c r="N152" s="21"/>
      <c r="O152" s="21"/>
      <c r="P152" s="21"/>
      <c r="Q152" s="21"/>
      <c r="R152" s="21"/>
      <c r="S152" s="19"/>
      <c r="T152" s="19"/>
      <c r="U152" s="19"/>
      <c r="V152" s="19"/>
      <c r="W152" s="19"/>
      <c r="X152" s="19"/>
      <c r="Y152" s="19"/>
      <c r="Z152" s="19"/>
      <c r="AA152" s="19"/>
      <c r="AB152" s="19" t="str">
        <f aca="false">IF(NOT(ISNUMBER(Q152)),"",IF(E152="organizer_case",IF(ISNUMBER(P152),ROUND((Q152-P152)*86400,0),""),IF(J152="ADVANCE",IF(ISNUMBER(O152),ROUND((Q152-MAX(O152,N152))*86400,0),""),IF(ISNUMBER(O152),ROUND((Q152-O152)*86400,0),""))))</f>
        <v/>
      </c>
      <c r="AC152" s="19" t="str">
        <f aca="false">IF(AND(ISNUMBER(Q152),ISNUMBER(R152)),ROUND(R152-Q152,2),"")</f>
        <v/>
      </c>
      <c r="AD152" s="19" t="str">
        <f aca="false">IF(AND(ISNUMBER(AB152),ISNUMBER(Z152)),AB152-Z152,"")</f>
        <v/>
      </c>
      <c r="AE152" s="19"/>
      <c r="AF152" s="19"/>
      <c r="AG152" s="22"/>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4"/>
      <c r="BH152" s="23"/>
      <c r="BI152" s="23"/>
      <c r="BJ152" s="19"/>
      <c r="BK152" s="19"/>
      <c r="BL152" s="19"/>
      <c r="BM152" s="19"/>
      <c r="BN152" s="23"/>
      <c r="BO152" s="23"/>
      <c r="BP152" s="19"/>
      <c r="BQ152" s="19"/>
      <c r="BR152" s="19"/>
      <c r="BS152" s="23"/>
    </row>
    <row r="153" customFormat="false" ht="15" hidden="false" customHeight="false" outlineLevel="0" collapsed="false">
      <c r="A153" s="19"/>
      <c r="B153" s="19"/>
      <c r="C153" s="19"/>
      <c r="D153" s="19"/>
      <c r="E153" s="19"/>
      <c r="F153" s="19"/>
      <c r="G153" s="19"/>
      <c r="H153" s="20"/>
      <c r="I153" s="19"/>
      <c r="J153" s="19"/>
      <c r="K153" s="19"/>
      <c r="L153" s="21"/>
      <c r="M153" s="21"/>
      <c r="N153" s="21"/>
      <c r="O153" s="21"/>
      <c r="P153" s="21"/>
      <c r="Q153" s="21"/>
      <c r="R153" s="21"/>
      <c r="S153" s="19"/>
      <c r="T153" s="19"/>
      <c r="U153" s="19"/>
      <c r="V153" s="19"/>
      <c r="W153" s="19"/>
      <c r="X153" s="19"/>
      <c r="Y153" s="19"/>
      <c r="Z153" s="19"/>
      <c r="AA153" s="19"/>
      <c r="AB153" s="19" t="str">
        <f aca="false">IF(NOT(ISNUMBER(Q153)),"",IF(E153="organizer_case",IF(ISNUMBER(P153),ROUND((Q153-P153)*86400,0),""),IF(J153="ADVANCE",IF(ISNUMBER(O153),ROUND((Q153-MAX(O153,N153))*86400,0),""),IF(ISNUMBER(O153),ROUND((Q153-O153)*86400,0),""))))</f>
        <v/>
      </c>
      <c r="AC153" s="19" t="str">
        <f aca="false">IF(AND(ISNUMBER(Q153),ISNUMBER(R153)),ROUND(R153-Q153,2),"")</f>
        <v/>
      </c>
      <c r="AD153" s="19" t="str">
        <f aca="false">IF(AND(ISNUMBER(AB153),ISNUMBER(Z153)),AB153-Z153,"")</f>
        <v/>
      </c>
      <c r="AE153" s="19"/>
      <c r="AF153" s="19"/>
      <c r="AG153" s="22"/>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4"/>
      <c r="BH153" s="23"/>
      <c r="BI153" s="23"/>
      <c r="BJ153" s="19"/>
      <c r="BK153" s="19"/>
      <c r="BL153" s="19"/>
      <c r="BM153" s="19"/>
      <c r="BN153" s="23"/>
      <c r="BO153" s="23"/>
      <c r="BP153" s="19"/>
      <c r="BQ153" s="19"/>
      <c r="BR153" s="19"/>
      <c r="BS153" s="23"/>
    </row>
    <row r="154" customFormat="false" ht="15" hidden="false" customHeight="false" outlineLevel="0" collapsed="false">
      <c r="A154" s="19"/>
      <c r="B154" s="19"/>
      <c r="C154" s="19"/>
      <c r="D154" s="19"/>
      <c r="E154" s="19"/>
      <c r="F154" s="19"/>
      <c r="G154" s="19"/>
      <c r="H154" s="20"/>
      <c r="I154" s="19"/>
      <c r="J154" s="19"/>
      <c r="K154" s="19"/>
      <c r="L154" s="21"/>
      <c r="M154" s="21"/>
      <c r="N154" s="21"/>
      <c r="O154" s="21"/>
      <c r="P154" s="21"/>
      <c r="Q154" s="21"/>
      <c r="R154" s="21"/>
      <c r="S154" s="19"/>
      <c r="T154" s="19"/>
      <c r="U154" s="19"/>
      <c r="V154" s="19"/>
      <c r="W154" s="19"/>
      <c r="X154" s="19"/>
      <c r="Y154" s="19"/>
      <c r="Z154" s="19"/>
      <c r="AA154" s="19"/>
      <c r="AB154" s="19" t="str">
        <f aca="false">IF(NOT(ISNUMBER(Q154)),"",IF(E154="organizer_case",IF(ISNUMBER(P154),ROUND((Q154-P154)*86400,0),""),IF(J154="ADVANCE",IF(ISNUMBER(O154),ROUND((Q154-MAX(O154,N154))*86400,0),""),IF(ISNUMBER(O154),ROUND((Q154-O154)*86400,0),""))))</f>
        <v/>
      </c>
      <c r="AC154" s="19" t="str">
        <f aca="false">IF(AND(ISNUMBER(Q154),ISNUMBER(R154)),ROUND(R154-Q154,2),"")</f>
        <v/>
      </c>
      <c r="AD154" s="19" t="str">
        <f aca="false">IF(AND(ISNUMBER(AB154),ISNUMBER(Z154)),AB154-Z154,"")</f>
        <v/>
      </c>
      <c r="AE154" s="19"/>
      <c r="AF154" s="19"/>
      <c r="AG154" s="22"/>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4"/>
      <c r="BH154" s="23"/>
      <c r="BI154" s="23"/>
      <c r="BJ154" s="19"/>
      <c r="BK154" s="19"/>
      <c r="BL154" s="19"/>
      <c r="BM154" s="19"/>
      <c r="BN154" s="23"/>
      <c r="BO154" s="23"/>
      <c r="BP154" s="19"/>
      <c r="BQ154" s="19"/>
      <c r="BR154" s="19"/>
      <c r="BS154" s="23"/>
    </row>
    <row r="155" customFormat="false" ht="15" hidden="false" customHeight="false" outlineLevel="0" collapsed="false">
      <c r="A155" s="19"/>
      <c r="B155" s="19"/>
      <c r="C155" s="19"/>
      <c r="D155" s="19"/>
      <c r="E155" s="19"/>
      <c r="F155" s="19"/>
      <c r="G155" s="19"/>
      <c r="H155" s="20"/>
      <c r="I155" s="19"/>
      <c r="J155" s="19"/>
      <c r="K155" s="19"/>
      <c r="L155" s="21"/>
      <c r="M155" s="21"/>
      <c r="N155" s="21"/>
      <c r="O155" s="21"/>
      <c r="P155" s="21"/>
      <c r="Q155" s="21"/>
      <c r="R155" s="21"/>
      <c r="S155" s="19"/>
      <c r="T155" s="19"/>
      <c r="U155" s="19"/>
      <c r="V155" s="19"/>
      <c r="W155" s="19"/>
      <c r="X155" s="19"/>
      <c r="Y155" s="19"/>
      <c r="Z155" s="19"/>
      <c r="AA155" s="19"/>
      <c r="AB155" s="19" t="str">
        <f aca="false">IF(NOT(ISNUMBER(Q155)),"",IF(E155="organizer_case",IF(ISNUMBER(P155),ROUND((Q155-P155)*86400,0),""),IF(J155="ADVANCE",IF(ISNUMBER(O155),ROUND((Q155-MAX(O155,N155))*86400,0),""),IF(ISNUMBER(O155),ROUND((Q155-O155)*86400,0),""))))</f>
        <v/>
      </c>
      <c r="AC155" s="19" t="str">
        <f aca="false">IF(AND(ISNUMBER(Q155),ISNUMBER(R155)),ROUND(R155-Q155,2),"")</f>
        <v/>
      </c>
      <c r="AD155" s="19" t="str">
        <f aca="false">IF(AND(ISNUMBER(AB155),ISNUMBER(Z155)),AB155-Z155,"")</f>
        <v/>
      </c>
      <c r="AE155" s="19"/>
      <c r="AF155" s="19"/>
      <c r="AG155" s="22"/>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4"/>
      <c r="BH155" s="23"/>
      <c r="BI155" s="23"/>
      <c r="BJ155" s="19"/>
      <c r="BK155" s="19"/>
      <c r="BL155" s="19"/>
      <c r="BM155" s="19"/>
      <c r="BN155" s="23"/>
      <c r="BO155" s="23"/>
      <c r="BP155" s="19"/>
      <c r="BQ155" s="19"/>
      <c r="BR155" s="19"/>
      <c r="BS155" s="23"/>
    </row>
    <row r="156" customFormat="false" ht="15" hidden="false" customHeight="false" outlineLevel="0" collapsed="false">
      <c r="A156" s="19"/>
      <c r="B156" s="19"/>
      <c r="C156" s="19"/>
      <c r="D156" s="19"/>
      <c r="E156" s="19"/>
      <c r="F156" s="19"/>
      <c r="G156" s="19"/>
      <c r="H156" s="20"/>
      <c r="I156" s="19"/>
      <c r="J156" s="19"/>
      <c r="K156" s="19"/>
      <c r="L156" s="21"/>
      <c r="M156" s="21"/>
      <c r="N156" s="21"/>
      <c r="O156" s="21"/>
      <c r="P156" s="21"/>
      <c r="Q156" s="21"/>
      <c r="R156" s="21"/>
      <c r="S156" s="19"/>
      <c r="T156" s="19"/>
      <c r="U156" s="19"/>
      <c r="V156" s="19"/>
      <c r="W156" s="19"/>
      <c r="X156" s="19"/>
      <c r="Y156" s="19"/>
      <c r="Z156" s="19"/>
      <c r="AA156" s="19"/>
      <c r="AB156" s="19" t="str">
        <f aca="false">IF(NOT(ISNUMBER(Q156)),"",IF(E156="organizer_case",IF(ISNUMBER(P156),ROUND((Q156-P156)*86400,0),""),IF(J156="ADVANCE",IF(ISNUMBER(O156),ROUND((Q156-MAX(O156,N156))*86400,0),""),IF(ISNUMBER(O156),ROUND((Q156-O156)*86400,0),""))))</f>
        <v/>
      </c>
      <c r="AC156" s="19" t="str">
        <f aca="false">IF(AND(ISNUMBER(Q156),ISNUMBER(R156)),ROUND(R156-Q156,2),"")</f>
        <v/>
      </c>
      <c r="AD156" s="19" t="str">
        <f aca="false">IF(AND(ISNUMBER(AB156),ISNUMBER(Z156)),AB156-Z156,"")</f>
        <v/>
      </c>
      <c r="AE156" s="19"/>
      <c r="AF156" s="19"/>
      <c r="AG156" s="22"/>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4"/>
      <c r="BH156" s="23"/>
      <c r="BI156" s="23"/>
      <c r="BJ156" s="19"/>
      <c r="BK156" s="19"/>
      <c r="BL156" s="19"/>
      <c r="BM156" s="19"/>
      <c r="BN156" s="23"/>
      <c r="BO156" s="23"/>
      <c r="BP156" s="19"/>
      <c r="BQ156" s="19"/>
      <c r="BR156" s="19"/>
      <c r="BS156" s="23"/>
    </row>
    <row r="157" customFormat="false" ht="15" hidden="false" customHeight="false" outlineLevel="0" collapsed="false">
      <c r="A157" s="19"/>
      <c r="B157" s="19"/>
      <c r="C157" s="19"/>
      <c r="D157" s="19"/>
      <c r="E157" s="19"/>
      <c r="F157" s="19"/>
      <c r="G157" s="19"/>
      <c r="H157" s="20"/>
      <c r="I157" s="19"/>
      <c r="J157" s="19"/>
      <c r="K157" s="19"/>
      <c r="L157" s="21"/>
      <c r="M157" s="21"/>
      <c r="N157" s="21"/>
      <c r="O157" s="21"/>
      <c r="P157" s="21"/>
      <c r="Q157" s="21"/>
      <c r="R157" s="21"/>
      <c r="S157" s="19"/>
      <c r="T157" s="19"/>
      <c r="U157" s="19"/>
      <c r="V157" s="19"/>
      <c r="W157" s="19"/>
      <c r="X157" s="19"/>
      <c r="Y157" s="19"/>
      <c r="Z157" s="19"/>
      <c r="AA157" s="19"/>
      <c r="AB157" s="19" t="str">
        <f aca="false">IF(NOT(ISNUMBER(Q157)),"",IF(E157="organizer_case",IF(ISNUMBER(P157),ROUND((Q157-P157)*86400,0),""),IF(J157="ADVANCE",IF(ISNUMBER(O157),ROUND((Q157-MAX(O157,N157))*86400,0),""),IF(ISNUMBER(O157),ROUND((Q157-O157)*86400,0),""))))</f>
        <v/>
      </c>
      <c r="AC157" s="19" t="str">
        <f aca="false">IF(AND(ISNUMBER(Q157),ISNUMBER(R157)),ROUND(R157-Q157,2),"")</f>
        <v/>
      </c>
      <c r="AD157" s="19" t="str">
        <f aca="false">IF(AND(ISNUMBER(AB157),ISNUMBER(Z157)),AB157-Z157,"")</f>
        <v/>
      </c>
      <c r="AE157" s="19"/>
      <c r="AF157" s="19"/>
      <c r="AG157" s="22"/>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4"/>
      <c r="BH157" s="23"/>
      <c r="BI157" s="23"/>
      <c r="BJ157" s="19"/>
      <c r="BK157" s="19"/>
      <c r="BL157" s="19"/>
      <c r="BM157" s="19"/>
      <c r="BN157" s="23"/>
      <c r="BO157" s="23"/>
      <c r="BP157" s="19"/>
      <c r="BQ157" s="19"/>
      <c r="BR157" s="19"/>
      <c r="BS157" s="23"/>
    </row>
    <row r="158" customFormat="false" ht="15" hidden="false" customHeight="false" outlineLevel="0" collapsed="false">
      <c r="A158" s="19"/>
      <c r="B158" s="19"/>
      <c r="C158" s="19"/>
      <c r="D158" s="19"/>
      <c r="E158" s="19"/>
      <c r="F158" s="19"/>
      <c r="G158" s="19"/>
      <c r="H158" s="20"/>
      <c r="I158" s="19"/>
      <c r="J158" s="19"/>
      <c r="K158" s="19"/>
      <c r="L158" s="21"/>
      <c r="M158" s="21"/>
      <c r="N158" s="21"/>
      <c r="O158" s="21"/>
      <c r="P158" s="21"/>
      <c r="Q158" s="21"/>
      <c r="R158" s="21"/>
      <c r="S158" s="19"/>
      <c r="T158" s="19"/>
      <c r="U158" s="19"/>
      <c r="V158" s="19"/>
      <c r="W158" s="19"/>
      <c r="X158" s="19"/>
      <c r="Y158" s="19"/>
      <c r="Z158" s="19"/>
      <c r="AA158" s="19"/>
      <c r="AB158" s="19" t="str">
        <f aca="false">IF(NOT(ISNUMBER(Q158)),"",IF(E158="organizer_case",IF(ISNUMBER(P158),ROUND((Q158-P158)*86400,0),""),IF(J158="ADVANCE",IF(ISNUMBER(O158),ROUND((Q158-MAX(O158,N158))*86400,0),""),IF(ISNUMBER(O158),ROUND((Q158-O158)*86400,0),""))))</f>
        <v/>
      </c>
      <c r="AC158" s="19" t="str">
        <f aca="false">IF(AND(ISNUMBER(Q158),ISNUMBER(R158)),ROUND(R158-Q158,2),"")</f>
        <v/>
      </c>
      <c r="AD158" s="19" t="str">
        <f aca="false">IF(AND(ISNUMBER(AB158),ISNUMBER(Z158)),AB158-Z158,"")</f>
        <v/>
      </c>
      <c r="AE158" s="19"/>
      <c r="AF158" s="19"/>
      <c r="AG158" s="22"/>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4"/>
      <c r="BH158" s="23"/>
      <c r="BI158" s="23"/>
      <c r="BJ158" s="19"/>
      <c r="BK158" s="19"/>
      <c r="BL158" s="19"/>
      <c r="BM158" s="19"/>
      <c r="BN158" s="23"/>
      <c r="BO158" s="23"/>
      <c r="BP158" s="19"/>
      <c r="BQ158" s="19"/>
      <c r="BR158" s="19"/>
      <c r="BS158" s="23"/>
    </row>
    <row r="159" customFormat="false" ht="15" hidden="false" customHeight="false" outlineLevel="0" collapsed="false">
      <c r="A159" s="19"/>
      <c r="B159" s="19"/>
      <c r="C159" s="19"/>
      <c r="D159" s="19"/>
      <c r="E159" s="19"/>
      <c r="F159" s="19"/>
      <c r="G159" s="19"/>
      <c r="H159" s="20"/>
      <c r="I159" s="19"/>
      <c r="J159" s="19"/>
      <c r="K159" s="19"/>
      <c r="L159" s="21"/>
      <c r="M159" s="21"/>
      <c r="N159" s="21"/>
      <c r="O159" s="21"/>
      <c r="P159" s="21"/>
      <c r="Q159" s="21"/>
      <c r="R159" s="21"/>
      <c r="S159" s="19"/>
      <c r="T159" s="19"/>
      <c r="U159" s="19"/>
      <c r="V159" s="19"/>
      <c r="W159" s="19"/>
      <c r="X159" s="19"/>
      <c r="Y159" s="19"/>
      <c r="Z159" s="19"/>
      <c r="AA159" s="19"/>
      <c r="AB159" s="19" t="str">
        <f aca="false">IF(NOT(ISNUMBER(Q159)),"",IF(E159="organizer_case",IF(ISNUMBER(P159),ROUND((Q159-P159)*86400,0),""),IF(J159="ADVANCE",IF(ISNUMBER(O159),ROUND((Q159-MAX(O159,N159))*86400,0),""),IF(ISNUMBER(O159),ROUND((Q159-O159)*86400,0),""))))</f>
        <v/>
      </c>
      <c r="AC159" s="19" t="str">
        <f aca="false">IF(AND(ISNUMBER(Q159),ISNUMBER(R159)),ROUND(R159-Q159,2),"")</f>
        <v/>
      </c>
      <c r="AD159" s="19" t="str">
        <f aca="false">IF(AND(ISNUMBER(AB159),ISNUMBER(Z159)),AB159-Z159,"")</f>
        <v/>
      </c>
      <c r="AE159" s="19"/>
      <c r="AF159" s="19"/>
      <c r="AG159" s="22"/>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4"/>
      <c r="BH159" s="23"/>
      <c r="BI159" s="23"/>
      <c r="BJ159" s="19"/>
      <c r="BK159" s="19"/>
      <c r="BL159" s="19"/>
      <c r="BM159" s="19"/>
      <c r="BN159" s="23"/>
      <c r="BO159" s="23"/>
      <c r="BP159" s="19"/>
      <c r="BQ159" s="19"/>
      <c r="BR159" s="19"/>
      <c r="BS159" s="23"/>
    </row>
    <row r="160" customFormat="false" ht="15" hidden="false" customHeight="false" outlineLevel="0" collapsed="false">
      <c r="A160" s="19"/>
      <c r="B160" s="19"/>
      <c r="C160" s="19"/>
      <c r="D160" s="19"/>
      <c r="E160" s="19"/>
      <c r="F160" s="19"/>
      <c r="G160" s="19"/>
      <c r="H160" s="20"/>
      <c r="I160" s="19"/>
      <c r="J160" s="19"/>
      <c r="K160" s="19"/>
      <c r="L160" s="21"/>
      <c r="M160" s="21"/>
      <c r="N160" s="21"/>
      <c r="O160" s="21"/>
      <c r="P160" s="21"/>
      <c r="Q160" s="21"/>
      <c r="R160" s="21"/>
      <c r="S160" s="19"/>
      <c r="T160" s="19"/>
      <c r="U160" s="19"/>
      <c r="V160" s="19"/>
      <c r="W160" s="19"/>
      <c r="X160" s="19"/>
      <c r="Y160" s="19"/>
      <c r="Z160" s="19"/>
      <c r="AA160" s="19"/>
      <c r="AB160" s="19" t="str">
        <f aca="false">IF(NOT(ISNUMBER(Q160)),"",IF(E160="organizer_case",IF(ISNUMBER(P160),ROUND((Q160-P160)*86400,0),""),IF(J160="ADVANCE",IF(ISNUMBER(O160),ROUND((Q160-MAX(O160,N160))*86400,0),""),IF(ISNUMBER(O160),ROUND((Q160-O160)*86400,0),""))))</f>
        <v/>
      </c>
      <c r="AC160" s="19" t="str">
        <f aca="false">IF(AND(ISNUMBER(Q160),ISNUMBER(R160)),ROUND(R160-Q160,2),"")</f>
        <v/>
      </c>
      <c r="AD160" s="19" t="str">
        <f aca="false">IF(AND(ISNUMBER(AB160),ISNUMBER(Z160)),AB160-Z160,"")</f>
        <v/>
      </c>
      <c r="AE160" s="19"/>
      <c r="AF160" s="19"/>
      <c r="AG160" s="22"/>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4"/>
      <c r="BH160" s="23"/>
      <c r="BI160" s="23"/>
      <c r="BJ160" s="19"/>
      <c r="BK160" s="19"/>
      <c r="BL160" s="19"/>
      <c r="BM160" s="19"/>
      <c r="BN160" s="23"/>
      <c r="BO160" s="23"/>
      <c r="BP160" s="19"/>
      <c r="BQ160" s="19"/>
      <c r="BR160" s="19"/>
      <c r="BS160" s="23"/>
    </row>
    <row r="161" customFormat="false" ht="15" hidden="false" customHeight="false" outlineLevel="0" collapsed="false">
      <c r="A161" s="19"/>
      <c r="B161" s="19"/>
      <c r="C161" s="19"/>
      <c r="D161" s="19"/>
      <c r="E161" s="19"/>
      <c r="F161" s="19"/>
      <c r="G161" s="19"/>
      <c r="H161" s="20"/>
      <c r="I161" s="19"/>
      <c r="J161" s="19"/>
      <c r="K161" s="19"/>
      <c r="L161" s="21"/>
      <c r="M161" s="21"/>
      <c r="N161" s="21"/>
      <c r="O161" s="21"/>
      <c r="P161" s="21"/>
      <c r="Q161" s="21"/>
      <c r="R161" s="21"/>
      <c r="S161" s="19"/>
      <c r="T161" s="19"/>
      <c r="U161" s="19"/>
      <c r="V161" s="19"/>
      <c r="W161" s="19"/>
      <c r="X161" s="19"/>
      <c r="Y161" s="19"/>
      <c r="Z161" s="19"/>
      <c r="AA161" s="19"/>
      <c r="AB161" s="19" t="str">
        <f aca="false">IF(NOT(ISNUMBER(Q161)),"",IF(E161="organizer_case",IF(ISNUMBER(P161),ROUND((Q161-P161)*86400,0),""),IF(J161="ADVANCE",IF(ISNUMBER(O161),ROUND((Q161-MAX(O161,N161))*86400,0),""),IF(ISNUMBER(O161),ROUND((Q161-O161)*86400,0),""))))</f>
        <v/>
      </c>
      <c r="AC161" s="19" t="str">
        <f aca="false">IF(AND(ISNUMBER(Q161),ISNUMBER(R161)),ROUND(R161-Q161,2),"")</f>
        <v/>
      </c>
      <c r="AD161" s="19" t="str">
        <f aca="false">IF(AND(ISNUMBER(AB161),ISNUMBER(Z161)),AB161-Z161,"")</f>
        <v/>
      </c>
      <c r="AE161" s="19"/>
      <c r="AF161" s="19"/>
      <c r="AG161" s="22"/>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4"/>
      <c r="BH161" s="23"/>
      <c r="BI161" s="23"/>
      <c r="BJ161" s="19"/>
      <c r="BK161" s="19"/>
      <c r="BL161" s="19"/>
      <c r="BM161" s="19"/>
      <c r="BN161" s="23"/>
      <c r="BO161" s="23"/>
      <c r="BP161" s="19"/>
      <c r="BQ161" s="19"/>
      <c r="BR161" s="19"/>
      <c r="BS161" s="23"/>
    </row>
    <row r="162" customFormat="false" ht="15" hidden="false" customHeight="false" outlineLevel="0" collapsed="false">
      <c r="A162" s="19"/>
      <c r="B162" s="19"/>
      <c r="C162" s="19"/>
      <c r="D162" s="19"/>
      <c r="E162" s="19"/>
      <c r="F162" s="19"/>
      <c r="G162" s="19"/>
      <c r="H162" s="20"/>
      <c r="I162" s="19"/>
      <c r="J162" s="19"/>
      <c r="K162" s="19"/>
      <c r="L162" s="21"/>
      <c r="M162" s="21"/>
      <c r="N162" s="21"/>
      <c r="O162" s="21"/>
      <c r="P162" s="21"/>
      <c r="Q162" s="21"/>
      <c r="R162" s="21"/>
      <c r="S162" s="19"/>
      <c r="T162" s="19"/>
      <c r="U162" s="19"/>
      <c r="V162" s="19"/>
      <c r="W162" s="19"/>
      <c r="X162" s="19"/>
      <c r="Y162" s="19"/>
      <c r="Z162" s="19"/>
      <c r="AA162" s="19"/>
      <c r="AB162" s="19" t="str">
        <f aca="false">IF(NOT(ISNUMBER(Q162)),"",IF(E162="organizer_case",IF(ISNUMBER(P162),ROUND((Q162-P162)*86400,0),""),IF(J162="ADVANCE",IF(ISNUMBER(O162),ROUND((Q162-MAX(O162,N162))*86400,0),""),IF(ISNUMBER(O162),ROUND((Q162-O162)*86400,0),""))))</f>
        <v/>
      </c>
      <c r="AC162" s="19" t="str">
        <f aca="false">IF(AND(ISNUMBER(Q162),ISNUMBER(R162)),ROUND(R162-Q162,2),"")</f>
        <v/>
      </c>
      <c r="AD162" s="19" t="str">
        <f aca="false">IF(AND(ISNUMBER(AB162),ISNUMBER(Z162)),AB162-Z162,"")</f>
        <v/>
      </c>
      <c r="AE162" s="19"/>
      <c r="AF162" s="19"/>
      <c r="AG162" s="22"/>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4"/>
      <c r="BH162" s="23"/>
      <c r="BI162" s="23"/>
      <c r="BJ162" s="19"/>
      <c r="BK162" s="19"/>
      <c r="BL162" s="19"/>
      <c r="BM162" s="19"/>
      <c r="BN162" s="23"/>
      <c r="BO162" s="23"/>
      <c r="BP162" s="19"/>
      <c r="BQ162" s="19"/>
      <c r="BR162" s="19"/>
      <c r="BS162" s="23"/>
    </row>
    <row r="163" customFormat="false" ht="15" hidden="false" customHeight="false" outlineLevel="0" collapsed="false">
      <c r="A163" s="19"/>
      <c r="B163" s="19"/>
      <c r="C163" s="19"/>
      <c r="D163" s="19"/>
      <c r="E163" s="19"/>
      <c r="F163" s="19"/>
      <c r="G163" s="19"/>
      <c r="H163" s="20"/>
      <c r="I163" s="19"/>
      <c r="J163" s="19"/>
      <c r="K163" s="19"/>
      <c r="L163" s="21"/>
      <c r="M163" s="21"/>
      <c r="N163" s="21"/>
      <c r="O163" s="21"/>
      <c r="P163" s="21"/>
      <c r="Q163" s="21"/>
      <c r="R163" s="21"/>
      <c r="S163" s="19"/>
      <c r="T163" s="19"/>
      <c r="U163" s="19"/>
      <c r="V163" s="19"/>
      <c r="W163" s="19"/>
      <c r="X163" s="19"/>
      <c r="Y163" s="19"/>
      <c r="Z163" s="19"/>
      <c r="AA163" s="19"/>
      <c r="AB163" s="19" t="str">
        <f aca="false">IF(NOT(ISNUMBER(Q163)),"",IF(E163="organizer_case",IF(ISNUMBER(P163),ROUND((Q163-P163)*86400,0),""),IF(J163="ADVANCE",IF(ISNUMBER(O163),ROUND((Q163-MAX(O163,N163))*86400,0),""),IF(ISNUMBER(O163),ROUND((Q163-O163)*86400,0),""))))</f>
        <v/>
      </c>
      <c r="AC163" s="19" t="str">
        <f aca="false">IF(AND(ISNUMBER(Q163),ISNUMBER(R163)),ROUND(R163-Q163,2),"")</f>
        <v/>
      </c>
      <c r="AD163" s="19" t="str">
        <f aca="false">IF(AND(ISNUMBER(AB163),ISNUMBER(Z163)),AB163-Z163,"")</f>
        <v/>
      </c>
      <c r="AE163" s="19"/>
      <c r="AF163" s="19"/>
      <c r="AG163" s="22"/>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4"/>
      <c r="BH163" s="23"/>
      <c r="BI163" s="23"/>
      <c r="BJ163" s="19"/>
      <c r="BK163" s="19"/>
      <c r="BL163" s="19"/>
      <c r="BM163" s="19"/>
      <c r="BN163" s="23"/>
      <c r="BO163" s="23"/>
      <c r="BP163" s="19"/>
      <c r="BQ163" s="19"/>
      <c r="BR163" s="19"/>
      <c r="BS163" s="23"/>
    </row>
    <row r="164" customFormat="false" ht="15" hidden="false" customHeight="false" outlineLevel="0" collapsed="false">
      <c r="A164" s="19"/>
      <c r="B164" s="19"/>
      <c r="C164" s="19"/>
      <c r="D164" s="19"/>
      <c r="E164" s="19"/>
      <c r="F164" s="19"/>
      <c r="G164" s="19"/>
      <c r="H164" s="20"/>
      <c r="I164" s="19"/>
      <c r="J164" s="19"/>
      <c r="K164" s="19"/>
      <c r="L164" s="21"/>
      <c r="M164" s="21"/>
      <c r="N164" s="21"/>
      <c r="O164" s="21"/>
      <c r="P164" s="21"/>
      <c r="Q164" s="21"/>
      <c r="R164" s="21"/>
      <c r="S164" s="19"/>
      <c r="T164" s="19"/>
      <c r="U164" s="19"/>
      <c r="V164" s="19"/>
      <c r="W164" s="19"/>
      <c r="X164" s="19"/>
      <c r="Y164" s="19"/>
      <c r="Z164" s="19"/>
      <c r="AA164" s="19"/>
      <c r="AB164" s="19" t="str">
        <f aca="false">IF(NOT(ISNUMBER(Q164)),"",IF(E164="organizer_case",IF(ISNUMBER(P164),ROUND((Q164-P164)*86400,0),""),IF(J164="ADVANCE",IF(ISNUMBER(O164),ROUND((Q164-MAX(O164,N164))*86400,0),""),IF(ISNUMBER(O164),ROUND((Q164-O164)*86400,0),""))))</f>
        <v/>
      </c>
      <c r="AC164" s="19" t="str">
        <f aca="false">IF(AND(ISNUMBER(Q164),ISNUMBER(R164)),ROUND(R164-Q164,2),"")</f>
        <v/>
      </c>
      <c r="AD164" s="19" t="str">
        <f aca="false">IF(AND(ISNUMBER(AB164),ISNUMBER(Z164)),AB164-Z164,"")</f>
        <v/>
      </c>
      <c r="AE164" s="19"/>
      <c r="AF164" s="19"/>
      <c r="AG164" s="22"/>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4"/>
      <c r="BH164" s="23"/>
      <c r="BI164" s="23"/>
      <c r="BJ164" s="19"/>
      <c r="BK164" s="19"/>
      <c r="BL164" s="19"/>
      <c r="BM164" s="19"/>
      <c r="BN164" s="23"/>
      <c r="BO164" s="23"/>
      <c r="BP164" s="19"/>
      <c r="BQ164" s="19"/>
      <c r="BR164" s="19"/>
      <c r="BS164" s="23"/>
    </row>
    <row r="165" customFormat="false" ht="15" hidden="false" customHeight="false" outlineLevel="0" collapsed="false">
      <c r="A165" s="19"/>
      <c r="B165" s="19"/>
      <c r="C165" s="19"/>
      <c r="D165" s="19"/>
      <c r="E165" s="19"/>
      <c r="F165" s="19"/>
      <c r="G165" s="19"/>
      <c r="H165" s="20"/>
      <c r="I165" s="19"/>
      <c r="J165" s="19"/>
      <c r="K165" s="19"/>
      <c r="L165" s="21"/>
      <c r="M165" s="21"/>
      <c r="N165" s="21"/>
      <c r="O165" s="21"/>
      <c r="P165" s="21"/>
      <c r="Q165" s="21"/>
      <c r="R165" s="21"/>
      <c r="S165" s="19"/>
      <c r="T165" s="19"/>
      <c r="U165" s="19"/>
      <c r="V165" s="19"/>
      <c r="W165" s="19"/>
      <c r="X165" s="19"/>
      <c r="Y165" s="19"/>
      <c r="Z165" s="19"/>
      <c r="AA165" s="19"/>
      <c r="AB165" s="19" t="str">
        <f aca="false">IF(NOT(ISNUMBER(Q165)),"",IF(E165="organizer_case",IF(ISNUMBER(P165),ROUND((Q165-P165)*86400,0),""),IF(J165="ADVANCE",IF(ISNUMBER(O165),ROUND((Q165-MAX(O165,N165))*86400,0),""),IF(ISNUMBER(O165),ROUND((Q165-O165)*86400,0),""))))</f>
        <v/>
      </c>
      <c r="AC165" s="19" t="str">
        <f aca="false">IF(AND(ISNUMBER(Q165),ISNUMBER(R165)),ROUND(R165-Q165,2),"")</f>
        <v/>
      </c>
      <c r="AD165" s="19" t="str">
        <f aca="false">IF(AND(ISNUMBER(AB165),ISNUMBER(Z165)),AB165-Z165,"")</f>
        <v/>
      </c>
      <c r="AE165" s="19"/>
      <c r="AF165" s="19"/>
      <c r="AG165" s="22"/>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4"/>
      <c r="BH165" s="23"/>
      <c r="BI165" s="23"/>
      <c r="BJ165" s="19"/>
      <c r="BK165" s="19"/>
      <c r="BL165" s="19"/>
      <c r="BM165" s="19"/>
      <c r="BN165" s="23"/>
      <c r="BO165" s="23"/>
      <c r="BP165" s="19"/>
      <c r="BQ165" s="19"/>
      <c r="BR165" s="19"/>
      <c r="BS165" s="23"/>
    </row>
    <row r="166" customFormat="false" ht="15" hidden="false" customHeight="false" outlineLevel="0" collapsed="false">
      <c r="A166" s="19"/>
      <c r="B166" s="19"/>
      <c r="C166" s="19"/>
      <c r="D166" s="19"/>
      <c r="E166" s="19"/>
      <c r="F166" s="19"/>
      <c r="G166" s="19"/>
      <c r="H166" s="20"/>
      <c r="I166" s="19"/>
      <c r="J166" s="19"/>
      <c r="K166" s="19"/>
      <c r="L166" s="21"/>
      <c r="M166" s="21"/>
      <c r="N166" s="21"/>
      <c r="O166" s="21"/>
      <c r="P166" s="21"/>
      <c r="Q166" s="21"/>
      <c r="R166" s="21"/>
      <c r="S166" s="19"/>
      <c r="T166" s="19"/>
      <c r="U166" s="19"/>
      <c r="V166" s="19"/>
      <c r="W166" s="19"/>
      <c r="X166" s="19"/>
      <c r="Y166" s="19"/>
      <c r="Z166" s="19"/>
      <c r="AA166" s="19"/>
      <c r="AB166" s="19" t="str">
        <f aca="false">IF(NOT(ISNUMBER(Q166)),"",IF(E166="organizer_case",IF(ISNUMBER(P166),ROUND((Q166-P166)*86400,0),""),IF(J166="ADVANCE",IF(ISNUMBER(O166),ROUND((Q166-MAX(O166,N166))*86400,0),""),IF(ISNUMBER(O166),ROUND((Q166-O166)*86400,0),""))))</f>
        <v/>
      </c>
      <c r="AC166" s="19" t="str">
        <f aca="false">IF(AND(ISNUMBER(Q166),ISNUMBER(R166)),ROUND(R166-Q166,2),"")</f>
        <v/>
      </c>
      <c r="AD166" s="19" t="str">
        <f aca="false">IF(AND(ISNUMBER(AB166),ISNUMBER(Z166)),AB166-Z166,"")</f>
        <v/>
      </c>
      <c r="AE166" s="19"/>
      <c r="AF166" s="19"/>
      <c r="AG166" s="22"/>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4"/>
      <c r="BH166" s="23"/>
      <c r="BI166" s="23"/>
      <c r="BJ166" s="19"/>
      <c r="BK166" s="19"/>
      <c r="BL166" s="19"/>
      <c r="BM166" s="19"/>
      <c r="BN166" s="23"/>
      <c r="BO166" s="23"/>
      <c r="BP166" s="19"/>
      <c r="BQ166" s="19"/>
      <c r="BR166" s="19"/>
      <c r="BS166" s="23"/>
    </row>
    <row r="167" customFormat="false" ht="15" hidden="false" customHeight="false" outlineLevel="0" collapsed="false">
      <c r="A167" s="19"/>
      <c r="B167" s="19"/>
      <c r="C167" s="19"/>
      <c r="D167" s="19"/>
      <c r="E167" s="19"/>
      <c r="F167" s="19"/>
      <c r="G167" s="19"/>
      <c r="H167" s="20"/>
      <c r="I167" s="19"/>
      <c r="J167" s="19"/>
      <c r="K167" s="19"/>
      <c r="L167" s="21"/>
      <c r="M167" s="21"/>
      <c r="N167" s="21"/>
      <c r="O167" s="21"/>
      <c r="P167" s="21"/>
      <c r="Q167" s="21"/>
      <c r="R167" s="21"/>
      <c r="S167" s="19"/>
      <c r="T167" s="19"/>
      <c r="U167" s="19"/>
      <c r="V167" s="19"/>
      <c r="W167" s="19"/>
      <c r="X167" s="19"/>
      <c r="Y167" s="19"/>
      <c r="Z167" s="19"/>
      <c r="AA167" s="19"/>
      <c r="AB167" s="19" t="str">
        <f aca="false">IF(NOT(ISNUMBER(Q167)),"",IF(E167="organizer_case",IF(ISNUMBER(P167),ROUND((Q167-P167)*86400,0),""),IF(J167="ADVANCE",IF(ISNUMBER(O167),ROUND((Q167-MAX(O167,N167))*86400,0),""),IF(ISNUMBER(O167),ROUND((Q167-O167)*86400,0),""))))</f>
        <v/>
      </c>
      <c r="AC167" s="19" t="str">
        <f aca="false">IF(AND(ISNUMBER(Q167),ISNUMBER(R167)),ROUND(R167-Q167,2),"")</f>
        <v/>
      </c>
      <c r="AD167" s="19" t="str">
        <f aca="false">IF(AND(ISNUMBER(AB167),ISNUMBER(Z167)),AB167-Z167,"")</f>
        <v/>
      </c>
      <c r="AE167" s="19"/>
      <c r="AF167" s="19"/>
      <c r="AG167" s="22"/>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4"/>
      <c r="BH167" s="23"/>
      <c r="BI167" s="23"/>
      <c r="BJ167" s="19"/>
      <c r="BK167" s="19"/>
      <c r="BL167" s="19"/>
      <c r="BM167" s="19"/>
      <c r="BN167" s="23"/>
      <c r="BO167" s="23"/>
      <c r="BP167" s="19"/>
      <c r="BQ167" s="19"/>
      <c r="BR167" s="19"/>
      <c r="BS167" s="23"/>
    </row>
    <row r="168" customFormat="false" ht="15" hidden="false" customHeight="false" outlineLevel="0" collapsed="false">
      <c r="A168" s="19"/>
      <c r="B168" s="19"/>
      <c r="C168" s="19"/>
      <c r="D168" s="19"/>
      <c r="E168" s="19"/>
      <c r="F168" s="19"/>
      <c r="G168" s="19"/>
      <c r="H168" s="20"/>
      <c r="I168" s="19"/>
      <c r="J168" s="19"/>
      <c r="K168" s="19"/>
      <c r="L168" s="21"/>
      <c r="M168" s="21"/>
      <c r="N168" s="21"/>
      <c r="O168" s="21"/>
      <c r="P168" s="21"/>
      <c r="Q168" s="21"/>
      <c r="R168" s="21"/>
      <c r="S168" s="19"/>
      <c r="T168" s="19"/>
      <c r="U168" s="19"/>
      <c r="V168" s="19"/>
      <c r="W168" s="19"/>
      <c r="X168" s="19"/>
      <c r="Y168" s="19"/>
      <c r="Z168" s="19"/>
      <c r="AA168" s="19"/>
      <c r="AB168" s="19" t="str">
        <f aca="false">IF(NOT(ISNUMBER(Q168)),"",IF(E168="organizer_case",IF(ISNUMBER(P168),ROUND((Q168-P168)*86400,0),""),IF(J168="ADVANCE",IF(ISNUMBER(O168),ROUND((Q168-MAX(O168,N168))*86400,0),""),IF(ISNUMBER(O168),ROUND((Q168-O168)*86400,0),""))))</f>
        <v/>
      </c>
      <c r="AC168" s="19" t="str">
        <f aca="false">IF(AND(ISNUMBER(Q168),ISNUMBER(R168)),ROUND(R168-Q168,2),"")</f>
        <v/>
      </c>
      <c r="AD168" s="19" t="str">
        <f aca="false">IF(AND(ISNUMBER(AB168),ISNUMBER(Z168)),AB168-Z168,"")</f>
        <v/>
      </c>
      <c r="AE168" s="19"/>
      <c r="AF168" s="19"/>
      <c r="AG168" s="22"/>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4"/>
      <c r="BH168" s="23"/>
      <c r="BI168" s="23"/>
      <c r="BJ168" s="19"/>
      <c r="BK168" s="19"/>
      <c r="BL168" s="19"/>
      <c r="BM168" s="19"/>
      <c r="BN168" s="23"/>
      <c r="BO168" s="23"/>
      <c r="BP168" s="19"/>
      <c r="BQ168" s="19"/>
      <c r="BR168" s="19"/>
      <c r="BS168" s="23"/>
    </row>
    <row r="169" customFormat="false" ht="15" hidden="false" customHeight="false" outlineLevel="0" collapsed="false">
      <c r="A169" s="19"/>
      <c r="B169" s="19"/>
      <c r="C169" s="19"/>
      <c r="D169" s="19"/>
      <c r="E169" s="19"/>
      <c r="F169" s="19"/>
      <c r="G169" s="19"/>
      <c r="H169" s="20"/>
      <c r="I169" s="19"/>
      <c r="J169" s="19"/>
      <c r="K169" s="19"/>
      <c r="L169" s="21"/>
      <c r="M169" s="21"/>
      <c r="N169" s="21"/>
      <c r="O169" s="21"/>
      <c r="P169" s="21"/>
      <c r="Q169" s="21"/>
      <c r="R169" s="21"/>
      <c r="S169" s="19"/>
      <c r="T169" s="19"/>
      <c r="U169" s="19"/>
      <c r="V169" s="19"/>
      <c r="W169" s="19"/>
      <c r="X169" s="19"/>
      <c r="Y169" s="19"/>
      <c r="Z169" s="19"/>
      <c r="AA169" s="19"/>
      <c r="AB169" s="19" t="str">
        <f aca="false">IF(NOT(ISNUMBER(Q169)),"",IF(E169="organizer_case",IF(ISNUMBER(P169),ROUND((Q169-P169)*86400,0),""),IF(J169="ADVANCE",IF(ISNUMBER(O169),ROUND((Q169-MAX(O169,N169))*86400,0),""),IF(ISNUMBER(O169),ROUND((Q169-O169)*86400,0),""))))</f>
        <v/>
      </c>
      <c r="AC169" s="19" t="str">
        <f aca="false">IF(AND(ISNUMBER(Q169),ISNUMBER(R169)),ROUND(R169-Q169,2),"")</f>
        <v/>
      </c>
      <c r="AD169" s="19" t="str">
        <f aca="false">IF(AND(ISNUMBER(AB169),ISNUMBER(Z169)),AB169-Z169,"")</f>
        <v/>
      </c>
      <c r="AE169" s="19"/>
      <c r="AF169" s="19"/>
      <c r="AG169" s="22"/>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4"/>
      <c r="BH169" s="23"/>
      <c r="BI169" s="23"/>
      <c r="BJ169" s="19"/>
      <c r="BK169" s="19"/>
      <c r="BL169" s="19"/>
      <c r="BM169" s="19"/>
      <c r="BN169" s="23"/>
      <c r="BO169" s="23"/>
      <c r="BP169" s="19"/>
      <c r="BQ169" s="19"/>
      <c r="BR169" s="19"/>
      <c r="BS169" s="23"/>
    </row>
    <row r="170" customFormat="false" ht="15" hidden="false" customHeight="false" outlineLevel="0" collapsed="false">
      <c r="A170" s="19"/>
      <c r="B170" s="19"/>
      <c r="C170" s="19"/>
      <c r="D170" s="19"/>
      <c r="E170" s="19"/>
      <c r="F170" s="19"/>
      <c r="G170" s="19"/>
      <c r="H170" s="20"/>
      <c r="I170" s="19"/>
      <c r="J170" s="19"/>
      <c r="K170" s="19"/>
      <c r="L170" s="21"/>
      <c r="M170" s="21"/>
      <c r="N170" s="21"/>
      <c r="O170" s="21"/>
      <c r="P170" s="21"/>
      <c r="Q170" s="21"/>
      <c r="R170" s="21"/>
      <c r="S170" s="19"/>
      <c r="T170" s="19"/>
      <c r="U170" s="19"/>
      <c r="V170" s="19"/>
      <c r="W170" s="19"/>
      <c r="X170" s="19"/>
      <c r="Y170" s="19"/>
      <c r="Z170" s="19"/>
      <c r="AA170" s="19"/>
      <c r="AB170" s="19" t="str">
        <f aca="false">IF(NOT(ISNUMBER(Q170)),"",IF(E170="organizer_case",IF(ISNUMBER(P170),ROUND((Q170-P170)*86400,0),""),IF(J170="ADVANCE",IF(ISNUMBER(O170),ROUND((Q170-MAX(O170,N170))*86400,0),""),IF(ISNUMBER(O170),ROUND((Q170-O170)*86400,0),""))))</f>
        <v/>
      </c>
      <c r="AC170" s="19" t="str">
        <f aca="false">IF(AND(ISNUMBER(Q170),ISNUMBER(R170)),ROUND(R170-Q170,2),"")</f>
        <v/>
      </c>
      <c r="AD170" s="19" t="str">
        <f aca="false">IF(AND(ISNUMBER(AB170),ISNUMBER(Z170)),AB170-Z170,"")</f>
        <v/>
      </c>
      <c r="AE170" s="19"/>
      <c r="AF170" s="19"/>
      <c r="AG170" s="22"/>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4"/>
      <c r="BH170" s="23"/>
      <c r="BI170" s="23"/>
      <c r="BJ170" s="19"/>
      <c r="BK170" s="19"/>
      <c r="BL170" s="19"/>
      <c r="BM170" s="19"/>
      <c r="BN170" s="23"/>
      <c r="BO170" s="23"/>
      <c r="BP170" s="19"/>
      <c r="BQ170" s="19"/>
      <c r="BR170" s="19"/>
      <c r="BS170" s="23"/>
    </row>
    <row r="171" customFormat="false" ht="15" hidden="false" customHeight="false" outlineLevel="0" collapsed="false">
      <c r="A171" s="19"/>
      <c r="B171" s="19"/>
      <c r="C171" s="19"/>
      <c r="D171" s="19"/>
      <c r="E171" s="19"/>
      <c r="F171" s="19"/>
      <c r="G171" s="19"/>
      <c r="H171" s="20"/>
      <c r="I171" s="19"/>
      <c r="J171" s="19"/>
      <c r="K171" s="19"/>
      <c r="L171" s="21"/>
      <c r="M171" s="21"/>
      <c r="N171" s="21"/>
      <c r="O171" s="21"/>
      <c r="P171" s="21"/>
      <c r="Q171" s="21"/>
      <c r="R171" s="21"/>
      <c r="S171" s="19"/>
      <c r="T171" s="19"/>
      <c r="U171" s="19"/>
      <c r="V171" s="19"/>
      <c r="W171" s="19"/>
      <c r="X171" s="19"/>
      <c r="Y171" s="19"/>
      <c r="Z171" s="19"/>
      <c r="AA171" s="19"/>
      <c r="AB171" s="19" t="str">
        <f aca="false">IF(NOT(ISNUMBER(Q171)),"",IF(E171="organizer_case",IF(ISNUMBER(P171),ROUND((Q171-P171)*86400,0),""),IF(J171="ADVANCE",IF(ISNUMBER(O171),ROUND((Q171-MAX(O171,N171))*86400,0),""),IF(ISNUMBER(O171),ROUND((Q171-O171)*86400,0),""))))</f>
        <v/>
      </c>
      <c r="AC171" s="19" t="str">
        <f aca="false">IF(AND(ISNUMBER(Q171),ISNUMBER(R171)),ROUND(R171-Q171,2),"")</f>
        <v/>
      </c>
      <c r="AD171" s="19" t="str">
        <f aca="false">IF(AND(ISNUMBER(AB171),ISNUMBER(Z171)),AB171-Z171,"")</f>
        <v/>
      </c>
      <c r="AE171" s="19"/>
      <c r="AF171" s="19"/>
      <c r="AG171" s="22"/>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4"/>
      <c r="BH171" s="23"/>
      <c r="BI171" s="23"/>
      <c r="BJ171" s="19"/>
      <c r="BK171" s="19"/>
      <c r="BL171" s="19"/>
      <c r="BM171" s="19"/>
      <c r="BN171" s="23"/>
      <c r="BO171" s="23"/>
      <c r="BP171" s="19"/>
      <c r="BQ171" s="19"/>
      <c r="BR171" s="19"/>
      <c r="BS171" s="23"/>
    </row>
    <row r="172" customFormat="false" ht="15" hidden="false" customHeight="false" outlineLevel="0" collapsed="false">
      <c r="A172" s="19"/>
      <c r="B172" s="19"/>
      <c r="C172" s="19"/>
      <c r="D172" s="19"/>
      <c r="E172" s="19"/>
      <c r="F172" s="19"/>
      <c r="G172" s="19"/>
      <c r="H172" s="20"/>
      <c r="I172" s="19"/>
      <c r="J172" s="19"/>
      <c r="K172" s="19"/>
      <c r="L172" s="21"/>
      <c r="M172" s="21"/>
      <c r="N172" s="21"/>
      <c r="O172" s="21"/>
      <c r="P172" s="21"/>
      <c r="Q172" s="21"/>
      <c r="R172" s="21"/>
      <c r="S172" s="19"/>
      <c r="T172" s="19"/>
      <c r="U172" s="19"/>
      <c r="V172" s="19"/>
      <c r="W172" s="19"/>
      <c r="X172" s="19"/>
      <c r="Y172" s="19"/>
      <c r="Z172" s="19"/>
      <c r="AA172" s="19"/>
      <c r="AB172" s="19" t="str">
        <f aca="false">IF(NOT(ISNUMBER(Q172)),"",IF(E172="organizer_case",IF(ISNUMBER(P172),ROUND((Q172-P172)*86400,0),""),IF(J172="ADVANCE",IF(ISNUMBER(O172),ROUND((Q172-MAX(O172,N172))*86400,0),""),IF(ISNUMBER(O172),ROUND((Q172-O172)*86400,0),""))))</f>
        <v/>
      </c>
      <c r="AC172" s="19" t="str">
        <f aca="false">IF(AND(ISNUMBER(Q172),ISNUMBER(R172)),ROUND(R172-Q172,2),"")</f>
        <v/>
      </c>
      <c r="AD172" s="19" t="str">
        <f aca="false">IF(AND(ISNUMBER(AB172),ISNUMBER(Z172)),AB172-Z172,"")</f>
        <v/>
      </c>
      <c r="AE172" s="19"/>
      <c r="AF172" s="19"/>
      <c r="AG172" s="22"/>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4"/>
      <c r="BH172" s="23"/>
      <c r="BI172" s="23"/>
      <c r="BJ172" s="19"/>
      <c r="BK172" s="19"/>
      <c r="BL172" s="19"/>
      <c r="BM172" s="19"/>
      <c r="BN172" s="23"/>
      <c r="BO172" s="23"/>
      <c r="BP172" s="19"/>
      <c r="BQ172" s="19"/>
      <c r="BR172" s="19"/>
      <c r="BS172" s="23"/>
    </row>
    <row r="173" customFormat="false" ht="15" hidden="false" customHeight="false" outlineLevel="0" collapsed="false">
      <c r="A173" s="19"/>
      <c r="B173" s="19"/>
      <c r="C173" s="19"/>
      <c r="D173" s="19"/>
      <c r="E173" s="19"/>
      <c r="F173" s="19"/>
      <c r="G173" s="19"/>
      <c r="H173" s="20"/>
      <c r="I173" s="19"/>
      <c r="J173" s="19"/>
      <c r="K173" s="19"/>
      <c r="L173" s="21"/>
      <c r="M173" s="21"/>
      <c r="N173" s="21"/>
      <c r="O173" s="21"/>
      <c r="P173" s="21"/>
      <c r="Q173" s="21"/>
      <c r="R173" s="21"/>
      <c r="S173" s="19"/>
      <c r="T173" s="19"/>
      <c r="U173" s="19"/>
      <c r="V173" s="19"/>
      <c r="W173" s="19"/>
      <c r="X173" s="19"/>
      <c r="Y173" s="19"/>
      <c r="Z173" s="19"/>
      <c r="AA173" s="19"/>
      <c r="AB173" s="19" t="str">
        <f aca="false">IF(NOT(ISNUMBER(Q173)),"",IF(E173="organizer_case",IF(ISNUMBER(P173),ROUND((Q173-P173)*86400,0),""),IF(J173="ADVANCE",IF(ISNUMBER(O173),ROUND((Q173-MAX(O173,N173))*86400,0),""),IF(ISNUMBER(O173),ROUND((Q173-O173)*86400,0),""))))</f>
        <v/>
      </c>
      <c r="AC173" s="19" t="str">
        <f aca="false">IF(AND(ISNUMBER(Q173),ISNUMBER(R173)),ROUND(R173-Q173,2),"")</f>
        <v/>
      </c>
      <c r="AD173" s="19" t="str">
        <f aca="false">IF(AND(ISNUMBER(AB173),ISNUMBER(Z173)),AB173-Z173,"")</f>
        <v/>
      </c>
      <c r="AE173" s="19"/>
      <c r="AF173" s="19"/>
      <c r="AG173" s="22"/>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4"/>
      <c r="BH173" s="23"/>
      <c r="BI173" s="23"/>
      <c r="BJ173" s="19"/>
      <c r="BK173" s="19"/>
      <c r="BL173" s="19"/>
      <c r="BM173" s="19"/>
      <c r="BN173" s="23"/>
      <c r="BO173" s="23"/>
      <c r="BP173" s="19"/>
      <c r="BQ173" s="19"/>
      <c r="BR173" s="19"/>
      <c r="BS173" s="23"/>
    </row>
    <row r="174" customFormat="false" ht="15" hidden="false" customHeight="false" outlineLevel="0" collapsed="false">
      <c r="A174" s="19"/>
      <c r="B174" s="19"/>
      <c r="C174" s="19"/>
      <c r="D174" s="19"/>
      <c r="E174" s="19"/>
      <c r="F174" s="19"/>
      <c r="G174" s="19"/>
      <c r="H174" s="20"/>
      <c r="I174" s="19"/>
      <c r="J174" s="19"/>
      <c r="K174" s="19"/>
      <c r="L174" s="21"/>
      <c r="M174" s="21"/>
      <c r="N174" s="21"/>
      <c r="O174" s="21"/>
      <c r="P174" s="21"/>
      <c r="Q174" s="21"/>
      <c r="R174" s="21"/>
      <c r="S174" s="19"/>
      <c r="T174" s="19"/>
      <c r="U174" s="19"/>
      <c r="V174" s="19"/>
      <c r="W174" s="19"/>
      <c r="X174" s="19"/>
      <c r="Y174" s="19"/>
      <c r="Z174" s="19"/>
      <c r="AA174" s="19"/>
      <c r="AB174" s="19" t="str">
        <f aca="false">IF(NOT(ISNUMBER(Q174)),"",IF(E174="organizer_case",IF(ISNUMBER(P174),ROUND((Q174-P174)*86400,0),""),IF(J174="ADVANCE",IF(ISNUMBER(O174),ROUND((Q174-MAX(O174,N174))*86400,0),""),IF(ISNUMBER(O174),ROUND((Q174-O174)*86400,0),""))))</f>
        <v/>
      </c>
      <c r="AC174" s="19" t="str">
        <f aca="false">IF(AND(ISNUMBER(Q174),ISNUMBER(R174)),ROUND(R174-Q174,2),"")</f>
        <v/>
      </c>
      <c r="AD174" s="19" t="str">
        <f aca="false">IF(AND(ISNUMBER(AB174),ISNUMBER(Z174)),AB174-Z174,"")</f>
        <v/>
      </c>
      <c r="AE174" s="19"/>
      <c r="AF174" s="19"/>
      <c r="AG174" s="22"/>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4"/>
      <c r="BH174" s="23"/>
      <c r="BI174" s="23"/>
      <c r="BJ174" s="19"/>
      <c r="BK174" s="19"/>
      <c r="BL174" s="19"/>
      <c r="BM174" s="19"/>
      <c r="BN174" s="23"/>
      <c r="BO174" s="23"/>
      <c r="BP174" s="19"/>
      <c r="BQ174" s="19"/>
      <c r="BR174" s="19"/>
      <c r="BS174" s="23"/>
    </row>
    <row r="175" customFormat="false" ht="15" hidden="false" customHeight="false" outlineLevel="0" collapsed="false">
      <c r="A175" s="19"/>
      <c r="B175" s="19"/>
      <c r="C175" s="19"/>
      <c r="D175" s="19"/>
      <c r="E175" s="19"/>
      <c r="F175" s="19"/>
      <c r="G175" s="19"/>
      <c r="H175" s="20"/>
      <c r="I175" s="19"/>
      <c r="J175" s="19"/>
      <c r="K175" s="19"/>
      <c r="L175" s="21"/>
      <c r="M175" s="21"/>
      <c r="N175" s="21"/>
      <c r="O175" s="21"/>
      <c r="P175" s="21"/>
      <c r="Q175" s="21"/>
      <c r="R175" s="21"/>
      <c r="S175" s="19"/>
      <c r="T175" s="19"/>
      <c r="U175" s="19"/>
      <c r="V175" s="19"/>
      <c r="W175" s="19"/>
      <c r="X175" s="19"/>
      <c r="Y175" s="19"/>
      <c r="Z175" s="19"/>
      <c r="AA175" s="19"/>
      <c r="AB175" s="19" t="str">
        <f aca="false">IF(NOT(ISNUMBER(Q175)),"",IF(E175="organizer_case",IF(ISNUMBER(P175),ROUND((Q175-P175)*86400,0),""),IF(J175="ADVANCE",IF(ISNUMBER(O175),ROUND((Q175-MAX(O175,N175))*86400,0),""),IF(ISNUMBER(O175),ROUND((Q175-O175)*86400,0),""))))</f>
        <v/>
      </c>
      <c r="AC175" s="19" t="str">
        <f aca="false">IF(AND(ISNUMBER(Q175),ISNUMBER(R175)),ROUND(R175-Q175,2),"")</f>
        <v/>
      </c>
      <c r="AD175" s="19" t="str">
        <f aca="false">IF(AND(ISNUMBER(AB175),ISNUMBER(Z175)),AB175-Z175,"")</f>
        <v/>
      </c>
      <c r="AE175" s="19"/>
      <c r="AF175" s="19"/>
      <c r="AG175" s="22"/>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4"/>
      <c r="BH175" s="23"/>
      <c r="BI175" s="23"/>
      <c r="BJ175" s="19"/>
      <c r="BK175" s="19"/>
      <c r="BL175" s="19"/>
      <c r="BM175" s="19"/>
      <c r="BN175" s="23"/>
      <c r="BO175" s="23"/>
      <c r="BP175" s="19"/>
      <c r="BQ175" s="19"/>
      <c r="BR175" s="19"/>
      <c r="BS175" s="23"/>
    </row>
    <row r="176" customFormat="false" ht="15" hidden="false" customHeight="false" outlineLevel="0" collapsed="false">
      <c r="A176" s="19"/>
      <c r="B176" s="19"/>
      <c r="C176" s="19"/>
      <c r="D176" s="19"/>
      <c r="E176" s="19"/>
      <c r="F176" s="19"/>
      <c r="G176" s="19"/>
      <c r="H176" s="20"/>
      <c r="I176" s="19"/>
      <c r="J176" s="19"/>
      <c r="K176" s="19"/>
      <c r="L176" s="21"/>
      <c r="M176" s="21"/>
      <c r="N176" s="21"/>
      <c r="O176" s="21"/>
      <c r="P176" s="21"/>
      <c r="Q176" s="21"/>
      <c r="R176" s="21"/>
      <c r="S176" s="19"/>
      <c r="T176" s="19"/>
      <c r="U176" s="19"/>
      <c r="V176" s="19"/>
      <c r="W176" s="19"/>
      <c r="X176" s="19"/>
      <c r="Y176" s="19"/>
      <c r="Z176" s="19"/>
      <c r="AA176" s="19"/>
      <c r="AB176" s="19" t="str">
        <f aca="false">IF(NOT(ISNUMBER(Q176)),"",IF(E176="organizer_case",IF(ISNUMBER(P176),ROUND((Q176-P176)*86400,0),""),IF(J176="ADVANCE",IF(ISNUMBER(O176),ROUND((Q176-MAX(O176,N176))*86400,0),""),IF(ISNUMBER(O176),ROUND((Q176-O176)*86400,0),""))))</f>
        <v/>
      </c>
      <c r="AC176" s="19" t="str">
        <f aca="false">IF(AND(ISNUMBER(Q176),ISNUMBER(R176)),ROUND(R176-Q176,2),"")</f>
        <v/>
      </c>
      <c r="AD176" s="19" t="str">
        <f aca="false">IF(AND(ISNUMBER(AB176),ISNUMBER(Z176)),AB176-Z176,"")</f>
        <v/>
      </c>
      <c r="AE176" s="19"/>
      <c r="AF176" s="19"/>
      <c r="AG176" s="22"/>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4"/>
      <c r="BH176" s="23"/>
      <c r="BI176" s="23"/>
      <c r="BJ176" s="19"/>
      <c r="BK176" s="19"/>
      <c r="BL176" s="19"/>
      <c r="BM176" s="19"/>
      <c r="BN176" s="23"/>
      <c r="BO176" s="23"/>
      <c r="BP176" s="19"/>
      <c r="BQ176" s="19"/>
      <c r="BR176" s="19"/>
      <c r="BS176" s="23"/>
    </row>
    <row r="177" customFormat="false" ht="15" hidden="false" customHeight="false" outlineLevel="0" collapsed="false">
      <c r="A177" s="19"/>
      <c r="B177" s="19"/>
      <c r="C177" s="19"/>
      <c r="D177" s="19"/>
      <c r="E177" s="19"/>
      <c r="F177" s="19"/>
      <c r="G177" s="19"/>
      <c r="H177" s="20"/>
      <c r="I177" s="19"/>
      <c r="J177" s="19"/>
      <c r="K177" s="19"/>
      <c r="L177" s="21"/>
      <c r="M177" s="21"/>
      <c r="N177" s="21"/>
      <c r="O177" s="21"/>
      <c r="P177" s="21"/>
      <c r="Q177" s="21"/>
      <c r="R177" s="21"/>
      <c r="S177" s="19"/>
      <c r="T177" s="19"/>
      <c r="U177" s="19"/>
      <c r="V177" s="19"/>
      <c r="W177" s="19"/>
      <c r="X177" s="19"/>
      <c r="Y177" s="19"/>
      <c r="Z177" s="19"/>
      <c r="AA177" s="19"/>
      <c r="AB177" s="19" t="str">
        <f aca="false">IF(NOT(ISNUMBER(Q177)),"",IF(E177="organizer_case",IF(ISNUMBER(P177),ROUND((Q177-P177)*86400,0),""),IF(J177="ADVANCE",IF(ISNUMBER(O177),ROUND((Q177-MAX(O177,N177))*86400,0),""),IF(ISNUMBER(O177),ROUND((Q177-O177)*86400,0),""))))</f>
        <v/>
      </c>
      <c r="AC177" s="19" t="str">
        <f aca="false">IF(AND(ISNUMBER(Q177),ISNUMBER(R177)),ROUND(R177-Q177,2),"")</f>
        <v/>
      </c>
      <c r="AD177" s="19" t="str">
        <f aca="false">IF(AND(ISNUMBER(AB177),ISNUMBER(Z177)),AB177-Z177,"")</f>
        <v/>
      </c>
      <c r="AE177" s="19"/>
      <c r="AF177" s="19"/>
      <c r="AG177" s="22"/>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4"/>
      <c r="BH177" s="23"/>
      <c r="BI177" s="23"/>
      <c r="BJ177" s="19"/>
      <c r="BK177" s="19"/>
      <c r="BL177" s="19"/>
      <c r="BM177" s="19"/>
      <c r="BN177" s="23"/>
      <c r="BO177" s="23"/>
      <c r="BP177" s="19"/>
      <c r="BQ177" s="19"/>
      <c r="BR177" s="19"/>
      <c r="BS177" s="23"/>
    </row>
    <row r="178" customFormat="false" ht="15" hidden="false" customHeight="false" outlineLevel="0" collapsed="false">
      <c r="A178" s="19"/>
      <c r="B178" s="19"/>
      <c r="C178" s="19"/>
      <c r="D178" s="19"/>
      <c r="E178" s="19"/>
      <c r="F178" s="19"/>
      <c r="G178" s="19"/>
      <c r="H178" s="20"/>
      <c r="I178" s="19"/>
      <c r="J178" s="19"/>
      <c r="K178" s="19"/>
      <c r="L178" s="21"/>
      <c r="M178" s="21"/>
      <c r="N178" s="21"/>
      <c r="O178" s="21"/>
      <c r="P178" s="21"/>
      <c r="Q178" s="21"/>
      <c r="R178" s="21"/>
      <c r="S178" s="19"/>
      <c r="T178" s="19"/>
      <c r="U178" s="19"/>
      <c r="V178" s="19"/>
      <c r="W178" s="19"/>
      <c r="X178" s="19"/>
      <c r="Y178" s="19"/>
      <c r="Z178" s="19"/>
      <c r="AA178" s="19"/>
      <c r="AB178" s="19" t="str">
        <f aca="false">IF(NOT(ISNUMBER(Q178)),"",IF(E178="organizer_case",IF(ISNUMBER(P178),ROUND((Q178-P178)*86400,0),""),IF(J178="ADVANCE",IF(ISNUMBER(O178),ROUND((Q178-MAX(O178,N178))*86400,0),""),IF(ISNUMBER(O178),ROUND((Q178-O178)*86400,0),""))))</f>
        <v/>
      </c>
      <c r="AC178" s="19" t="str">
        <f aca="false">IF(AND(ISNUMBER(Q178),ISNUMBER(R178)),ROUND(R178-Q178,2),"")</f>
        <v/>
      </c>
      <c r="AD178" s="19" t="str">
        <f aca="false">IF(AND(ISNUMBER(AB178),ISNUMBER(Z178)),AB178-Z178,"")</f>
        <v/>
      </c>
      <c r="AE178" s="19"/>
      <c r="AF178" s="19"/>
      <c r="AG178" s="22"/>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4"/>
      <c r="BH178" s="23"/>
      <c r="BI178" s="23"/>
      <c r="BJ178" s="19"/>
      <c r="BK178" s="19"/>
      <c r="BL178" s="19"/>
      <c r="BM178" s="19"/>
      <c r="BN178" s="23"/>
      <c r="BO178" s="23"/>
      <c r="BP178" s="19"/>
      <c r="BQ178" s="19"/>
      <c r="BR178" s="19"/>
      <c r="BS178" s="23"/>
    </row>
    <row r="179" customFormat="false" ht="15" hidden="false" customHeight="false" outlineLevel="0" collapsed="false">
      <c r="A179" s="19"/>
      <c r="B179" s="19"/>
      <c r="C179" s="19"/>
      <c r="D179" s="19"/>
      <c r="E179" s="19"/>
      <c r="F179" s="19"/>
      <c r="G179" s="19"/>
      <c r="H179" s="20"/>
      <c r="I179" s="19"/>
      <c r="J179" s="19"/>
      <c r="K179" s="19"/>
      <c r="L179" s="21"/>
      <c r="M179" s="21"/>
      <c r="N179" s="21"/>
      <c r="O179" s="21"/>
      <c r="P179" s="21"/>
      <c r="Q179" s="21"/>
      <c r="R179" s="21"/>
      <c r="S179" s="19"/>
      <c r="T179" s="19"/>
      <c r="U179" s="19"/>
      <c r="V179" s="19"/>
      <c r="W179" s="19"/>
      <c r="X179" s="19"/>
      <c r="Y179" s="19"/>
      <c r="Z179" s="19"/>
      <c r="AA179" s="19"/>
      <c r="AB179" s="19" t="str">
        <f aca="false">IF(NOT(ISNUMBER(Q179)),"",IF(E179="organizer_case",IF(ISNUMBER(P179),ROUND((Q179-P179)*86400,0),""),IF(J179="ADVANCE",IF(ISNUMBER(O179),ROUND((Q179-MAX(O179,N179))*86400,0),""),IF(ISNUMBER(O179),ROUND((Q179-O179)*86400,0),""))))</f>
        <v/>
      </c>
      <c r="AC179" s="19" t="str">
        <f aca="false">IF(AND(ISNUMBER(Q179),ISNUMBER(R179)),ROUND(R179-Q179,2),"")</f>
        <v/>
      </c>
      <c r="AD179" s="19" t="str">
        <f aca="false">IF(AND(ISNUMBER(AB179),ISNUMBER(Z179)),AB179-Z179,"")</f>
        <v/>
      </c>
      <c r="AE179" s="19"/>
      <c r="AF179" s="19"/>
      <c r="AG179" s="22"/>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4"/>
      <c r="BH179" s="23"/>
      <c r="BI179" s="23"/>
      <c r="BJ179" s="19"/>
      <c r="BK179" s="19"/>
      <c r="BL179" s="19"/>
      <c r="BM179" s="19"/>
      <c r="BN179" s="23"/>
      <c r="BO179" s="23"/>
      <c r="BP179" s="19"/>
      <c r="BQ179" s="19"/>
      <c r="BR179" s="19"/>
      <c r="BS179" s="23"/>
    </row>
    <row r="180" customFormat="false" ht="15" hidden="false" customHeight="false" outlineLevel="0" collapsed="false">
      <c r="A180" s="19"/>
      <c r="B180" s="19"/>
      <c r="C180" s="19"/>
      <c r="D180" s="19"/>
      <c r="E180" s="19"/>
      <c r="F180" s="19"/>
      <c r="G180" s="19"/>
      <c r="H180" s="20"/>
      <c r="I180" s="19"/>
      <c r="J180" s="19"/>
      <c r="K180" s="19"/>
      <c r="L180" s="21"/>
      <c r="M180" s="21"/>
      <c r="N180" s="21"/>
      <c r="O180" s="21"/>
      <c r="P180" s="21"/>
      <c r="Q180" s="21"/>
      <c r="R180" s="21"/>
      <c r="S180" s="19"/>
      <c r="T180" s="19"/>
      <c r="U180" s="19"/>
      <c r="V180" s="19"/>
      <c r="W180" s="19"/>
      <c r="X180" s="19"/>
      <c r="Y180" s="19"/>
      <c r="Z180" s="19"/>
      <c r="AA180" s="19"/>
      <c r="AB180" s="19" t="str">
        <f aca="false">IF(NOT(ISNUMBER(Q180)),"",IF(E180="organizer_case",IF(ISNUMBER(P180),ROUND((Q180-P180)*86400,0),""),IF(J180="ADVANCE",IF(ISNUMBER(O180),ROUND((Q180-MAX(O180,N180))*86400,0),""),IF(ISNUMBER(O180),ROUND((Q180-O180)*86400,0),""))))</f>
        <v/>
      </c>
      <c r="AC180" s="19" t="str">
        <f aca="false">IF(AND(ISNUMBER(Q180),ISNUMBER(R180)),ROUND(R180-Q180,2),"")</f>
        <v/>
      </c>
      <c r="AD180" s="19" t="str">
        <f aca="false">IF(AND(ISNUMBER(AB180),ISNUMBER(Z180)),AB180-Z180,"")</f>
        <v/>
      </c>
      <c r="AE180" s="19"/>
      <c r="AF180" s="19"/>
      <c r="AG180" s="22"/>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4"/>
      <c r="BH180" s="23"/>
      <c r="BI180" s="23"/>
      <c r="BJ180" s="19"/>
      <c r="BK180" s="19"/>
      <c r="BL180" s="19"/>
      <c r="BM180" s="19"/>
      <c r="BN180" s="23"/>
      <c r="BO180" s="23"/>
      <c r="BP180" s="19"/>
      <c r="BQ180" s="19"/>
      <c r="BR180" s="19"/>
      <c r="BS180" s="23"/>
    </row>
    <row r="181" customFormat="false" ht="15" hidden="false" customHeight="false" outlineLevel="0" collapsed="false">
      <c r="A181" s="19"/>
      <c r="B181" s="19"/>
      <c r="C181" s="19"/>
      <c r="D181" s="19"/>
      <c r="E181" s="19"/>
      <c r="F181" s="19"/>
      <c r="G181" s="19"/>
      <c r="H181" s="20"/>
      <c r="I181" s="19"/>
      <c r="J181" s="19"/>
      <c r="K181" s="19"/>
      <c r="L181" s="21"/>
      <c r="M181" s="21"/>
      <c r="N181" s="21"/>
      <c r="O181" s="21"/>
      <c r="P181" s="21"/>
      <c r="Q181" s="21"/>
      <c r="R181" s="21"/>
      <c r="S181" s="19"/>
      <c r="T181" s="19"/>
      <c r="U181" s="19"/>
      <c r="V181" s="19"/>
      <c r="W181" s="19"/>
      <c r="X181" s="19"/>
      <c r="Y181" s="19"/>
      <c r="Z181" s="19"/>
      <c r="AA181" s="19"/>
      <c r="AB181" s="19" t="str">
        <f aca="false">IF(NOT(ISNUMBER(Q181)),"",IF(E181="organizer_case",IF(ISNUMBER(P181),ROUND((Q181-P181)*86400,0),""),IF(J181="ADVANCE",IF(ISNUMBER(O181),ROUND((Q181-MAX(O181,N181))*86400,0),""),IF(ISNUMBER(O181),ROUND((Q181-O181)*86400,0),""))))</f>
        <v/>
      </c>
      <c r="AC181" s="19" t="str">
        <f aca="false">IF(AND(ISNUMBER(Q181),ISNUMBER(R181)),ROUND(R181-Q181,2),"")</f>
        <v/>
      </c>
      <c r="AD181" s="19" t="str">
        <f aca="false">IF(AND(ISNUMBER(AB181),ISNUMBER(Z181)),AB181-Z181,"")</f>
        <v/>
      </c>
      <c r="AE181" s="19"/>
      <c r="AF181" s="19"/>
      <c r="AG181" s="22"/>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4"/>
      <c r="BH181" s="23"/>
      <c r="BI181" s="23"/>
      <c r="BJ181" s="19"/>
      <c r="BK181" s="19"/>
      <c r="BL181" s="19"/>
      <c r="BM181" s="19"/>
      <c r="BN181" s="23"/>
      <c r="BO181" s="23"/>
      <c r="BP181" s="19"/>
      <c r="BQ181" s="19"/>
      <c r="BR181" s="19"/>
      <c r="BS181" s="23"/>
    </row>
    <row r="182" customFormat="false" ht="15" hidden="false" customHeight="false" outlineLevel="0" collapsed="false">
      <c r="A182" s="19"/>
      <c r="B182" s="19"/>
      <c r="C182" s="19"/>
      <c r="D182" s="19"/>
      <c r="E182" s="19"/>
      <c r="F182" s="19"/>
      <c r="G182" s="19"/>
      <c r="H182" s="20"/>
      <c r="I182" s="19"/>
      <c r="J182" s="19"/>
      <c r="K182" s="19"/>
      <c r="L182" s="21"/>
      <c r="M182" s="21"/>
      <c r="N182" s="21"/>
      <c r="O182" s="21"/>
      <c r="P182" s="21"/>
      <c r="Q182" s="21"/>
      <c r="R182" s="21"/>
      <c r="S182" s="19"/>
      <c r="T182" s="19"/>
      <c r="U182" s="19"/>
      <c r="V182" s="19"/>
      <c r="W182" s="19"/>
      <c r="X182" s="19"/>
      <c r="Y182" s="19"/>
      <c r="Z182" s="19"/>
      <c r="AA182" s="19"/>
      <c r="AB182" s="19" t="str">
        <f aca="false">IF(NOT(ISNUMBER(Q182)),"",IF(E182="organizer_case",IF(ISNUMBER(P182),ROUND((Q182-P182)*86400,0),""),IF(J182="ADVANCE",IF(ISNUMBER(O182),ROUND((Q182-MAX(O182,N182))*86400,0),""),IF(ISNUMBER(O182),ROUND((Q182-O182)*86400,0),""))))</f>
        <v/>
      </c>
      <c r="AC182" s="19" t="str">
        <f aca="false">IF(AND(ISNUMBER(Q182),ISNUMBER(R182)),ROUND(R182-Q182,2),"")</f>
        <v/>
      </c>
      <c r="AD182" s="19" t="str">
        <f aca="false">IF(AND(ISNUMBER(AB182),ISNUMBER(Z182)),AB182-Z182,"")</f>
        <v/>
      </c>
      <c r="AE182" s="19"/>
      <c r="AF182" s="19"/>
      <c r="AG182" s="22"/>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4"/>
      <c r="BH182" s="23"/>
      <c r="BI182" s="23"/>
      <c r="BJ182" s="19"/>
      <c r="BK182" s="19"/>
      <c r="BL182" s="19"/>
      <c r="BM182" s="19"/>
      <c r="BN182" s="23"/>
      <c r="BO182" s="23"/>
      <c r="BP182" s="19"/>
      <c r="BQ182" s="19"/>
      <c r="BR182" s="19"/>
      <c r="BS182" s="23"/>
    </row>
    <row r="183" customFormat="false" ht="15" hidden="false" customHeight="false" outlineLevel="0" collapsed="false">
      <c r="A183" s="19"/>
      <c r="B183" s="19"/>
      <c r="C183" s="19"/>
      <c r="D183" s="19"/>
      <c r="E183" s="19"/>
      <c r="F183" s="19"/>
      <c r="G183" s="19"/>
      <c r="H183" s="20"/>
      <c r="I183" s="19"/>
      <c r="J183" s="19"/>
      <c r="K183" s="19"/>
      <c r="L183" s="21"/>
      <c r="M183" s="21"/>
      <c r="N183" s="21"/>
      <c r="O183" s="21"/>
      <c r="P183" s="21"/>
      <c r="Q183" s="21"/>
      <c r="R183" s="21"/>
      <c r="S183" s="19"/>
      <c r="T183" s="19"/>
      <c r="U183" s="19"/>
      <c r="V183" s="19"/>
      <c r="W183" s="19"/>
      <c r="X183" s="19"/>
      <c r="Y183" s="19"/>
      <c r="Z183" s="19"/>
      <c r="AA183" s="19"/>
      <c r="AB183" s="19" t="str">
        <f aca="false">IF(NOT(ISNUMBER(Q183)),"",IF(E183="organizer_case",IF(ISNUMBER(P183),ROUND((Q183-P183)*86400,0),""),IF(J183="ADVANCE",IF(ISNUMBER(O183),ROUND((Q183-MAX(O183,N183))*86400,0),""),IF(ISNUMBER(O183),ROUND((Q183-O183)*86400,0),""))))</f>
        <v/>
      </c>
      <c r="AC183" s="19" t="str">
        <f aca="false">IF(AND(ISNUMBER(Q183),ISNUMBER(R183)),ROUND(R183-Q183,2),"")</f>
        <v/>
      </c>
      <c r="AD183" s="19" t="str">
        <f aca="false">IF(AND(ISNUMBER(AB183),ISNUMBER(Z183)),AB183-Z183,"")</f>
        <v/>
      </c>
      <c r="AE183" s="19"/>
      <c r="AF183" s="19"/>
      <c r="AG183" s="22"/>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4"/>
      <c r="BH183" s="23"/>
      <c r="BI183" s="23"/>
      <c r="BJ183" s="19"/>
      <c r="BK183" s="19"/>
      <c r="BL183" s="19"/>
      <c r="BM183" s="19"/>
      <c r="BN183" s="23"/>
      <c r="BO183" s="23"/>
      <c r="BP183" s="19"/>
      <c r="BQ183" s="19"/>
      <c r="BR183" s="19"/>
      <c r="BS183" s="23"/>
    </row>
    <row r="184" customFormat="false" ht="15" hidden="false" customHeight="false" outlineLevel="0" collapsed="false">
      <c r="A184" s="19"/>
      <c r="B184" s="19"/>
      <c r="C184" s="19"/>
      <c r="D184" s="19"/>
      <c r="E184" s="19"/>
      <c r="F184" s="19"/>
      <c r="G184" s="19"/>
      <c r="H184" s="20"/>
      <c r="I184" s="19"/>
      <c r="J184" s="19"/>
      <c r="K184" s="19"/>
      <c r="L184" s="21"/>
      <c r="M184" s="21"/>
      <c r="N184" s="21"/>
      <c r="O184" s="21"/>
      <c r="P184" s="21"/>
      <c r="Q184" s="21"/>
      <c r="R184" s="21"/>
      <c r="S184" s="19"/>
      <c r="T184" s="19"/>
      <c r="U184" s="19"/>
      <c r="V184" s="19"/>
      <c r="W184" s="19"/>
      <c r="X184" s="19"/>
      <c r="Y184" s="19"/>
      <c r="Z184" s="19"/>
      <c r="AA184" s="19"/>
      <c r="AB184" s="19" t="str">
        <f aca="false">IF(NOT(ISNUMBER(Q184)),"",IF(E184="organizer_case",IF(ISNUMBER(P184),ROUND((Q184-P184)*86400,0),""),IF(J184="ADVANCE",IF(ISNUMBER(O184),ROUND((Q184-MAX(O184,N184))*86400,0),""),IF(ISNUMBER(O184),ROUND((Q184-O184)*86400,0),""))))</f>
        <v/>
      </c>
      <c r="AC184" s="19" t="str">
        <f aca="false">IF(AND(ISNUMBER(Q184),ISNUMBER(R184)),ROUND(R184-Q184,2),"")</f>
        <v/>
      </c>
      <c r="AD184" s="19" t="str">
        <f aca="false">IF(AND(ISNUMBER(AB184),ISNUMBER(Z184)),AB184-Z184,"")</f>
        <v/>
      </c>
      <c r="AE184" s="19"/>
      <c r="AF184" s="19"/>
      <c r="AG184" s="22"/>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4"/>
      <c r="BH184" s="23"/>
      <c r="BI184" s="23"/>
      <c r="BJ184" s="19"/>
      <c r="BK184" s="19"/>
      <c r="BL184" s="19"/>
      <c r="BM184" s="19"/>
      <c r="BN184" s="23"/>
      <c r="BO184" s="23"/>
      <c r="BP184" s="19"/>
      <c r="BQ184" s="19"/>
      <c r="BR184" s="19"/>
      <c r="BS184" s="23"/>
    </row>
    <row r="185" customFormat="false" ht="15" hidden="false" customHeight="false" outlineLevel="0" collapsed="false">
      <c r="A185" s="19"/>
      <c r="B185" s="19"/>
      <c r="C185" s="19"/>
      <c r="D185" s="19"/>
      <c r="E185" s="19"/>
      <c r="F185" s="19"/>
      <c r="G185" s="19"/>
      <c r="H185" s="20"/>
      <c r="I185" s="19"/>
      <c r="J185" s="19"/>
      <c r="K185" s="19"/>
      <c r="L185" s="21"/>
      <c r="M185" s="21"/>
      <c r="N185" s="21"/>
      <c r="O185" s="21"/>
      <c r="P185" s="21"/>
      <c r="Q185" s="21"/>
      <c r="R185" s="21"/>
      <c r="S185" s="19"/>
      <c r="T185" s="19"/>
      <c r="U185" s="19"/>
      <c r="V185" s="19"/>
      <c r="W185" s="19"/>
      <c r="X185" s="19"/>
      <c r="Y185" s="19"/>
      <c r="Z185" s="19"/>
      <c r="AA185" s="19"/>
      <c r="AB185" s="19" t="str">
        <f aca="false">IF(NOT(ISNUMBER(Q185)),"",IF(E185="organizer_case",IF(ISNUMBER(P185),ROUND((Q185-P185)*86400,0),""),IF(J185="ADVANCE",IF(ISNUMBER(O185),ROUND((Q185-MAX(O185,N185))*86400,0),""),IF(ISNUMBER(O185),ROUND((Q185-O185)*86400,0),""))))</f>
        <v/>
      </c>
      <c r="AC185" s="19" t="str">
        <f aca="false">IF(AND(ISNUMBER(Q185),ISNUMBER(R185)),ROUND(R185-Q185,2),"")</f>
        <v/>
      </c>
      <c r="AD185" s="19" t="str">
        <f aca="false">IF(AND(ISNUMBER(AB185),ISNUMBER(Z185)),AB185-Z185,"")</f>
        <v/>
      </c>
      <c r="AE185" s="19"/>
      <c r="AF185" s="19"/>
      <c r="AG185" s="22"/>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4"/>
      <c r="BH185" s="23"/>
      <c r="BI185" s="23"/>
      <c r="BJ185" s="19"/>
      <c r="BK185" s="19"/>
      <c r="BL185" s="19"/>
      <c r="BM185" s="19"/>
      <c r="BN185" s="23"/>
      <c r="BO185" s="23"/>
      <c r="BP185" s="19"/>
      <c r="BQ185" s="19"/>
      <c r="BR185" s="19"/>
      <c r="BS185" s="23"/>
    </row>
    <row r="186" customFormat="false" ht="15" hidden="false" customHeight="false" outlineLevel="0" collapsed="false">
      <c r="A186" s="19"/>
      <c r="B186" s="19"/>
      <c r="C186" s="19"/>
      <c r="D186" s="19"/>
      <c r="E186" s="19"/>
      <c r="F186" s="19"/>
      <c r="G186" s="19"/>
      <c r="H186" s="20"/>
      <c r="I186" s="19"/>
      <c r="J186" s="19"/>
      <c r="K186" s="19"/>
      <c r="L186" s="21"/>
      <c r="M186" s="21"/>
      <c r="N186" s="21"/>
      <c r="O186" s="21"/>
      <c r="P186" s="21"/>
      <c r="Q186" s="21"/>
      <c r="R186" s="21"/>
      <c r="S186" s="19"/>
      <c r="T186" s="19"/>
      <c r="U186" s="19"/>
      <c r="V186" s="19"/>
      <c r="W186" s="19"/>
      <c r="X186" s="19"/>
      <c r="Y186" s="19"/>
      <c r="Z186" s="19"/>
      <c r="AA186" s="19"/>
      <c r="AB186" s="19" t="str">
        <f aca="false">IF(NOT(ISNUMBER(Q186)),"",IF(E186="organizer_case",IF(ISNUMBER(P186),ROUND((Q186-P186)*86400,0),""),IF(J186="ADVANCE",IF(ISNUMBER(O186),ROUND((Q186-MAX(O186,N186))*86400,0),""),IF(ISNUMBER(O186),ROUND((Q186-O186)*86400,0),""))))</f>
        <v/>
      </c>
      <c r="AC186" s="19" t="str">
        <f aca="false">IF(AND(ISNUMBER(Q186),ISNUMBER(R186)),ROUND(R186-Q186,2),"")</f>
        <v/>
      </c>
      <c r="AD186" s="19" t="str">
        <f aca="false">IF(AND(ISNUMBER(AB186),ISNUMBER(Z186)),AB186-Z186,"")</f>
        <v/>
      </c>
      <c r="AE186" s="19"/>
      <c r="AF186" s="19"/>
      <c r="AG186" s="22"/>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4"/>
      <c r="BH186" s="23"/>
      <c r="BI186" s="23"/>
      <c r="BJ186" s="19"/>
      <c r="BK186" s="19"/>
      <c r="BL186" s="19"/>
      <c r="BM186" s="19"/>
      <c r="BN186" s="23"/>
      <c r="BO186" s="23"/>
      <c r="BP186" s="19"/>
      <c r="BQ186" s="19"/>
      <c r="BR186" s="19"/>
      <c r="BS186" s="23"/>
    </row>
    <row r="187" customFormat="false" ht="15" hidden="false" customHeight="false" outlineLevel="0" collapsed="false">
      <c r="A187" s="19"/>
      <c r="B187" s="19"/>
      <c r="C187" s="19"/>
      <c r="D187" s="19"/>
      <c r="E187" s="19"/>
      <c r="F187" s="19"/>
      <c r="G187" s="19"/>
      <c r="H187" s="20"/>
      <c r="I187" s="19"/>
      <c r="J187" s="19"/>
      <c r="K187" s="19"/>
      <c r="L187" s="21"/>
      <c r="M187" s="21"/>
      <c r="N187" s="21"/>
      <c r="O187" s="21"/>
      <c r="P187" s="21"/>
      <c r="Q187" s="21"/>
      <c r="R187" s="21"/>
      <c r="S187" s="19"/>
      <c r="T187" s="19"/>
      <c r="U187" s="19"/>
      <c r="V187" s="19"/>
      <c r="W187" s="19"/>
      <c r="X187" s="19"/>
      <c r="Y187" s="19"/>
      <c r="Z187" s="19"/>
      <c r="AA187" s="19"/>
      <c r="AB187" s="19" t="str">
        <f aca="false">IF(NOT(ISNUMBER(Q187)),"",IF(E187="organizer_case",IF(ISNUMBER(P187),ROUND((Q187-P187)*86400,0),""),IF(J187="ADVANCE",IF(ISNUMBER(O187),ROUND((Q187-MAX(O187,N187))*86400,0),""),IF(ISNUMBER(O187),ROUND((Q187-O187)*86400,0),""))))</f>
        <v/>
      </c>
      <c r="AC187" s="19" t="str">
        <f aca="false">IF(AND(ISNUMBER(Q187),ISNUMBER(R187)),ROUND(R187-Q187,2),"")</f>
        <v/>
      </c>
      <c r="AD187" s="19" t="str">
        <f aca="false">IF(AND(ISNUMBER(AB187),ISNUMBER(Z187)),AB187-Z187,"")</f>
        <v/>
      </c>
      <c r="AE187" s="19"/>
      <c r="AF187" s="19"/>
      <c r="AG187" s="22"/>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4"/>
      <c r="BH187" s="23"/>
      <c r="BI187" s="23"/>
      <c r="BJ187" s="19"/>
      <c r="BK187" s="19"/>
      <c r="BL187" s="19"/>
      <c r="BM187" s="19"/>
      <c r="BN187" s="23"/>
      <c r="BO187" s="23"/>
      <c r="BP187" s="19"/>
      <c r="BQ187" s="19"/>
      <c r="BR187" s="19"/>
      <c r="BS187" s="23"/>
    </row>
    <row r="188" customFormat="false" ht="15" hidden="false" customHeight="false" outlineLevel="0" collapsed="false">
      <c r="A188" s="19"/>
      <c r="B188" s="19"/>
      <c r="C188" s="19"/>
      <c r="D188" s="19"/>
      <c r="E188" s="19"/>
      <c r="F188" s="19"/>
      <c r="G188" s="19"/>
      <c r="H188" s="20"/>
      <c r="I188" s="19"/>
      <c r="J188" s="19"/>
      <c r="K188" s="19"/>
      <c r="L188" s="21"/>
      <c r="M188" s="21"/>
      <c r="N188" s="21"/>
      <c r="O188" s="21"/>
      <c r="P188" s="21"/>
      <c r="Q188" s="21"/>
      <c r="R188" s="21"/>
      <c r="S188" s="19"/>
      <c r="T188" s="19"/>
      <c r="U188" s="19"/>
      <c r="V188" s="19"/>
      <c r="W188" s="19"/>
      <c r="X188" s="19"/>
      <c r="Y188" s="19"/>
      <c r="Z188" s="19"/>
      <c r="AA188" s="19"/>
      <c r="AB188" s="19" t="str">
        <f aca="false">IF(NOT(ISNUMBER(Q188)),"",IF(E188="organizer_case",IF(ISNUMBER(P188),ROUND((Q188-P188)*86400,0),""),IF(J188="ADVANCE",IF(ISNUMBER(O188),ROUND((Q188-MAX(O188,N188))*86400,0),""),IF(ISNUMBER(O188),ROUND((Q188-O188)*86400,0),""))))</f>
        <v/>
      </c>
      <c r="AC188" s="19" t="str">
        <f aca="false">IF(AND(ISNUMBER(Q188),ISNUMBER(R188)),ROUND(R188-Q188,2),"")</f>
        <v/>
      </c>
      <c r="AD188" s="19" t="str">
        <f aca="false">IF(AND(ISNUMBER(AB188),ISNUMBER(Z188)),AB188-Z188,"")</f>
        <v/>
      </c>
      <c r="AE188" s="19"/>
      <c r="AF188" s="19"/>
      <c r="AG188" s="22"/>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4"/>
      <c r="BH188" s="23"/>
      <c r="BI188" s="23"/>
      <c r="BJ188" s="19"/>
      <c r="BK188" s="19"/>
      <c r="BL188" s="19"/>
      <c r="BM188" s="19"/>
      <c r="BN188" s="23"/>
      <c r="BO188" s="23"/>
      <c r="BP188" s="19"/>
      <c r="BQ188" s="19"/>
      <c r="BR188" s="19"/>
      <c r="BS188" s="23"/>
    </row>
    <row r="189" customFormat="false" ht="15" hidden="false" customHeight="false" outlineLevel="0" collapsed="false">
      <c r="A189" s="19"/>
      <c r="B189" s="19"/>
      <c r="C189" s="19"/>
      <c r="D189" s="19"/>
      <c r="E189" s="19"/>
      <c r="F189" s="19"/>
      <c r="G189" s="19"/>
      <c r="H189" s="20"/>
      <c r="I189" s="19"/>
      <c r="J189" s="19"/>
      <c r="K189" s="19"/>
      <c r="L189" s="21"/>
      <c r="M189" s="21"/>
      <c r="N189" s="21"/>
      <c r="O189" s="21"/>
      <c r="P189" s="21"/>
      <c r="Q189" s="21"/>
      <c r="R189" s="21"/>
      <c r="S189" s="19"/>
      <c r="T189" s="19"/>
      <c r="U189" s="19"/>
      <c r="V189" s="19"/>
      <c r="W189" s="19"/>
      <c r="X189" s="19"/>
      <c r="Y189" s="19"/>
      <c r="Z189" s="19"/>
      <c r="AA189" s="19"/>
      <c r="AB189" s="19" t="str">
        <f aca="false">IF(NOT(ISNUMBER(Q189)),"",IF(E189="organizer_case",IF(ISNUMBER(P189),ROUND((Q189-P189)*86400,0),""),IF(J189="ADVANCE",IF(ISNUMBER(O189),ROUND((Q189-MAX(O189,N189))*86400,0),""),IF(ISNUMBER(O189),ROUND((Q189-O189)*86400,0),""))))</f>
        <v/>
      </c>
      <c r="AC189" s="19" t="str">
        <f aca="false">IF(AND(ISNUMBER(Q189),ISNUMBER(R189)),ROUND(R189-Q189,2),"")</f>
        <v/>
      </c>
      <c r="AD189" s="19" t="str">
        <f aca="false">IF(AND(ISNUMBER(AB189),ISNUMBER(Z189)),AB189-Z189,"")</f>
        <v/>
      </c>
      <c r="AE189" s="19"/>
      <c r="AF189" s="19"/>
      <c r="AG189" s="22"/>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4"/>
      <c r="BH189" s="23"/>
      <c r="BI189" s="23"/>
      <c r="BJ189" s="19"/>
      <c r="BK189" s="19"/>
      <c r="BL189" s="19"/>
      <c r="BM189" s="19"/>
      <c r="BN189" s="23"/>
      <c r="BO189" s="23"/>
      <c r="BP189" s="19"/>
      <c r="BQ189" s="19"/>
      <c r="BR189" s="19"/>
      <c r="BS189" s="23"/>
    </row>
    <row r="190" customFormat="false" ht="15" hidden="false" customHeight="false" outlineLevel="0" collapsed="false">
      <c r="A190" s="19"/>
      <c r="B190" s="19"/>
      <c r="C190" s="19"/>
      <c r="D190" s="19"/>
      <c r="E190" s="19"/>
      <c r="F190" s="19"/>
      <c r="G190" s="19"/>
      <c r="H190" s="20"/>
      <c r="I190" s="19"/>
      <c r="J190" s="19"/>
      <c r="K190" s="19"/>
      <c r="L190" s="21"/>
      <c r="M190" s="21"/>
      <c r="N190" s="21"/>
      <c r="O190" s="21"/>
      <c r="P190" s="21"/>
      <c r="Q190" s="21"/>
      <c r="R190" s="21"/>
      <c r="S190" s="19"/>
      <c r="T190" s="19"/>
      <c r="U190" s="19"/>
      <c r="V190" s="19"/>
      <c r="W190" s="19"/>
      <c r="X190" s="19"/>
      <c r="Y190" s="19"/>
      <c r="Z190" s="19"/>
      <c r="AA190" s="19"/>
      <c r="AB190" s="19" t="str">
        <f aca="false">IF(NOT(ISNUMBER(Q190)),"",IF(E190="organizer_case",IF(ISNUMBER(P190),ROUND((Q190-P190)*86400,0),""),IF(J190="ADVANCE",IF(ISNUMBER(O190),ROUND((Q190-MAX(O190,N190))*86400,0),""),IF(ISNUMBER(O190),ROUND((Q190-O190)*86400,0),""))))</f>
        <v/>
      </c>
      <c r="AC190" s="19" t="str">
        <f aca="false">IF(AND(ISNUMBER(Q190),ISNUMBER(R190)),ROUND(R190-Q190,2),"")</f>
        <v/>
      </c>
      <c r="AD190" s="19" t="str">
        <f aca="false">IF(AND(ISNUMBER(AB190),ISNUMBER(Z190)),AB190-Z190,"")</f>
        <v/>
      </c>
      <c r="AE190" s="19"/>
      <c r="AF190" s="19"/>
      <c r="AG190" s="22"/>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4"/>
      <c r="BH190" s="23"/>
      <c r="BI190" s="23"/>
      <c r="BJ190" s="19"/>
      <c r="BK190" s="19"/>
      <c r="BL190" s="19"/>
      <c r="BM190" s="19"/>
      <c r="BN190" s="23"/>
      <c r="BO190" s="23"/>
      <c r="BP190" s="19"/>
      <c r="BQ190" s="19"/>
      <c r="BR190" s="19"/>
      <c r="BS190" s="23"/>
    </row>
    <row r="191" customFormat="false" ht="15" hidden="false" customHeight="false" outlineLevel="0" collapsed="false">
      <c r="A191" s="19"/>
      <c r="B191" s="19"/>
      <c r="C191" s="19"/>
      <c r="D191" s="19"/>
      <c r="E191" s="19"/>
      <c r="F191" s="19"/>
      <c r="G191" s="19"/>
      <c r="H191" s="20"/>
      <c r="I191" s="19"/>
      <c r="J191" s="19"/>
      <c r="K191" s="19"/>
      <c r="L191" s="21"/>
      <c r="M191" s="21"/>
      <c r="N191" s="21"/>
      <c r="O191" s="21"/>
      <c r="P191" s="21"/>
      <c r="Q191" s="21"/>
      <c r="R191" s="21"/>
      <c r="S191" s="19"/>
      <c r="T191" s="19"/>
      <c r="U191" s="19"/>
      <c r="V191" s="19"/>
      <c r="W191" s="19"/>
      <c r="X191" s="19"/>
      <c r="Y191" s="19"/>
      <c r="Z191" s="19"/>
      <c r="AA191" s="19"/>
      <c r="AB191" s="19" t="str">
        <f aca="false">IF(NOT(ISNUMBER(Q191)),"",IF(E191="organizer_case",IF(ISNUMBER(P191),ROUND((Q191-P191)*86400,0),""),IF(J191="ADVANCE",IF(ISNUMBER(O191),ROUND((Q191-MAX(O191,N191))*86400,0),""),IF(ISNUMBER(O191),ROUND((Q191-O191)*86400,0),""))))</f>
        <v/>
      </c>
      <c r="AC191" s="19" t="str">
        <f aca="false">IF(AND(ISNUMBER(Q191),ISNUMBER(R191)),ROUND(R191-Q191,2),"")</f>
        <v/>
      </c>
      <c r="AD191" s="19" t="str">
        <f aca="false">IF(AND(ISNUMBER(AB191),ISNUMBER(Z191)),AB191-Z191,"")</f>
        <v/>
      </c>
      <c r="AE191" s="19"/>
      <c r="AF191" s="19"/>
      <c r="AG191" s="22"/>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4"/>
      <c r="BH191" s="23"/>
      <c r="BI191" s="23"/>
      <c r="BJ191" s="19"/>
      <c r="BK191" s="19"/>
      <c r="BL191" s="19"/>
      <c r="BM191" s="19"/>
      <c r="BN191" s="23"/>
      <c r="BO191" s="23"/>
      <c r="BP191" s="19"/>
      <c r="BQ191" s="19"/>
      <c r="BR191" s="19"/>
      <c r="BS191" s="23"/>
    </row>
    <row r="192" customFormat="false" ht="15" hidden="false" customHeight="false" outlineLevel="0" collapsed="false">
      <c r="A192" s="19"/>
      <c r="B192" s="19"/>
      <c r="C192" s="19"/>
      <c r="D192" s="19"/>
      <c r="E192" s="19"/>
      <c r="F192" s="19"/>
      <c r="G192" s="19"/>
      <c r="H192" s="20"/>
      <c r="I192" s="19"/>
      <c r="J192" s="19"/>
      <c r="K192" s="19"/>
      <c r="L192" s="21"/>
      <c r="M192" s="21"/>
      <c r="N192" s="21"/>
      <c r="O192" s="21"/>
      <c r="P192" s="21"/>
      <c r="Q192" s="21"/>
      <c r="R192" s="21"/>
      <c r="S192" s="19"/>
      <c r="T192" s="19"/>
      <c r="U192" s="19"/>
      <c r="V192" s="19"/>
      <c r="W192" s="19"/>
      <c r="X192" s="19"/>
      <c r="Y192" s="19"/>
      <c r="Z192" s="19"/>
      <c r="AA192" s="19"/>
      <c r="AB192" s="19" t="str">
        <f aca="false">IF(NOT(ISNUMBER(Q192)),"",IF(E192="organizer_case",IF(ISNUMBER(P192),ROUND((Q192-P192)*86400,0),""),IF(J192="ADVANCE",IF(ISNUMBER(O192),ROUND((Q192-MAX(O192,N192))*86400,0),""),IF(ISNUMBER(O192),ROUND((Q192-O192)*86400,0),""))))</f>
        <v/>
      </c>
      <c r="AC192" s="19" t="str">
        <f aca="false">IF(AND(ISNUMBER(Q192),ISNUMBER(R192)),ROUND(R192-Q192,2),"")</f>
        <v/>
      </c>
      <c r="AD192" s="19" t="str">
        <f aca="false">IF(AND(ISNUMBER(AB192),ISNUMBER(Z192)),AB192-Z192,"")</f>
        <v/>
      </c>
      <c r="AE192" s="19"/>
      <c r="AF192" s="19"/>
      <c r="AG192" s="22"/>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4"/>
      <c r="BH192" s="23"/>
      <c r="BI192" s="23"/>
      <c r="BJ192" s="19"/>
      <c r="BK192" s="19"/>
      <c r="BL192" s="19"/>
      <c r="BM192" s="19"/>
      <c r="BN192" s="23"/>
      <c r="BO192" s="23"/>
      <c r="BP192" s="19"/>
      <c r="BQ192" s="19"/>
      <c r="BR192" s="19"/>
      <c r="BS192" s="23"/>
    </row>
    <row r="193" customFormat="false" ht="15" hidden="false" customHeight="false" outlineLevel="0" collapsed="false">
      <c r="A193" s="19"/>
      <c r="B193" s="19"/>
      <c r="C193" s="19"/>
      <c r="D193" s="19"/>
      <c r="E193" s="19"/>
      <c r="F193" s="19"/>
      <c r="G193" s="19"/>
      <c r="H193" s="20"/>
      <c r="I193" s="19"/>
      <c r="J193" s="19"/>
      <c r="K193" s="19"/>
      <c r="L193" s="21"/>
      <c r="M193" s="21"/>
      <c r="N193" s="21"/>
      <c r="O193" s="21"/>
      <c r="P193" s="21"/>
      <c r="Q193" s="21"/>
      <c r="R193" s="21"/>
      <c r="S193" s="19"/>
      <c r="T193" s="19"/>
      <c r="U193" s="19"/>
      <c r="V193" s="19"/>
      <c r="W193" s="19"/>
      <c r="X193" s="19"/>
      <c r="Y193" s="19"/>
      <c r="Z193" s="19"/>
      <c r="AA193" s="19"/>
      <c r="AB193" s="19" t="str">
        <f aca="false">IF(NOT(ISNUMBER(Q193)),"",IF(E193="organizer_case",IF(ISNUMBER(P193),ROUND((Q193-P193)*86400,0),""),IF(J193="ADVANCE",IF(ISNUMBER(O193),ROUND((Q193-MAX(O193,N193))*86400,0),""),IF(ISNUMBER(O193),ROUND((Q193-O193)*86400,0),""))))</f>
        <v/>
      </c>
      <c r="AC193" s="19" t="str">
        <f aca="false">IF(AND(ISNUMBER(Q193),ISNUMBER(R193)),ROUND(R193-Q193,2),"")</f>
        <v/>
      </c>
      <c r="AD193" s="19" t="str">
        <f aca="false">IF(AND(ISNUMBER(AB193),ISNUMBER(Z193)),AB193-Z193,"")</f>
        <v/>
      </c>
      <c r="AE193" s="19"/>
      <c r="AF193" s="19"/>
      <c r="AG193" s="22"/>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4"/>
      <c r="BH193" s="23"/>
      <c r="BI193" s="23"/>
      <c r="BJ193" s="19"/>
      <c r="BK193" s="19"/>
      <c r="BL193" s="19"/>
      <c r="BM193" s="19"/>
      <c r="BN193" s="23"/>
      <c r="BO193" s="23"/>
      <c r="BP193" s="19"/>
      <c r="BQ193" s="19"/>
      <c r="BR193" s="19"/>
      <c r="BS193" s="23"/>
    </row>
    <row r="194" customFormat="false" ht="15" hidden="false" customHeight="false" outlineLevel="0" collapsed="false">
      <c r="A194" s="19"/>
      <c r="B194" s="19"/>
      <c r="C194" s="19"/>
      <c r="D194" s="19"/>
      <c r="E194" s="19"/>
      <c r="F194" s="19"/>
      <c r="G194" s="19"/>
      <c r="H194" s="20"/>
      <c r="I194" s="19"/>
      <c r="J194" s="19"/>
      <c r="K194" s="19"/>
      <c r="L194" s="21"/>
      <c r="M194" s="21"/>
      <c r="N194" s="21"/>
      <c r="O194" s="21"/>
      <c r="P194" s="21"/>
      <c r="Q194" s="21"/>
      <c r="R194" s="21"/>
      <c r="S194" s="19"/>
      <c r="T194" s="19"/>
      <c r="U194" s="19"/>
      <c r="V194" s="19"/>
      <c r="W194" s="19"/>
      <c r="X194" s="19"/>
      <c r="Y194" s="19"/>
      <c r="Z194" s="19"/>
      <c r="AA194" s="19"/>
      <c r="AB194" s="19" t="str">
        <f aca="false">IF(NOT(ISNUMBER(Q194)),"",IF(E194="organizer_case",IF(ISNUMBER(P194),ROUND((Q194-P194)*86400,0),""),IF(J194="ADVANCE",IF(ISNUMBER(O194),ROUND((Q194-MAX(O194,N194))*86400,0),""),IF(ISNUMBER(O194),ROUND((Q194-O194)*86400,0),""))))</f>
        <v/>
      </c>
      <c r="AC194" s="19" t="str">
        <f aca="false">IF(AND(ISNUMBER(Q194),ISNUMBER(R194)),ROUND(R194-Q194,2),"")</f>
        <v/>
      </c>
      <c r="AD194" s="19" t="str">
        <f aca="false">IF(AND(ISNUMBER(AB194),ISNUMBER(Z194)),AB194-Z194,"")</f>
        <v/>
      </c>
      <c r="AE194" s="19"/>
      <c r="AF194" s="19"/>
      <c r="AG194" s="22"/>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4"/>
      <c r="BH194" s="23"/>
      <c r="BI194" s="23"/>
      <c r="BJ194" s="19"/>
      <c r="BK194" s="19"/>
      <c r="BL194" s="19"/>
      <c r="BM194" s="19"/>
      <c r="BN194" s="23"/>
      <c r="BO194" s="23"/>
      <c r="BP194" s="19"/>
      <c r="BQ194" s="19"/>
      <c r="BR194" s="19"/>
      <c r="BS194" s="23"/>
    </row>
    <row r="195" customFormat="false" ht="15" hidden="false" customHeight="false" outlineLevel="0" collapsed="false">
      <c r="A195" s="19"/>
      <c r="B195" s="19"/>
      <c r="C195" s="19"/>
      <c r="D195" s="19"/>
      <c r="E195" s="19"/>
      <c r="F195" s="19"/>
      <c r="G195" s="19"/>
      <c r="H195" s="20"/>
      <c r="I195" s="19"/>
      <c r="J195" s="19"/>
      <c r="K195" s="19"/>
      <c r="L195" s="21"/>
      <c r="M195" s="21"/>
      <c r="N195" s="21"/>
      <c r="O195" s="21"/>
      <c r="P195" s="21"/>
      <c r="Q195" s="21"/>
      <c r="R195" s="21"/>
      <c r="S195" s="19"/>
      <c r="T195" s="19"/>
      <c r="U195" s="19"/>
      <c r="V195" s="19"/>
      <c r="W195" s="19"/>
      <c r="X195" s="19"/>
      <c r="Y195" s="19"/>
      <c r="Z195" s="19"/>
      <c r="AA195" s="19"/>
      <c r="AB195" s="19" t="str">
        <f aca="false">IF(NOT(ISNUMBER(Q195)),"",IF(E195="organizer_case",IF(ISNUMBER(P195),ROUND((Q195-P195)*86400,0),""),IF(J195="ADVANCE",IF(ISNUMBER(O195),ROUND((Q195-MAX(O195,N195))*86400,0),""),IF(ISNUMBER(O195),ROUND((Q195-O195)*86400,0),""))))</f>
        <v/>
      </c>
      <c r="AC195" s="19" t="str">
        <f aca="false">IF(AND(ISNUMBER(Q195),ISNUMBER(R195)),ROUND(R195-Q195,2),"")</f>
        <v/>
      </c>
      <c r="AD195" s="19" t="str">
        <f aca="false">IF(AND(ISNUMBER(AB195),ISNUMBER(Z195)),AB195-Z195,"")</f>
        <v/>
      </c>
      <c r="AE195" s="19"/>
      <c r="AF195" s="19"/>
      <c r="AG195" s="22"/>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4"/>
      <c r="BH195" s="23"/>
      <c r="BI195" s="23"/>
      <c r="BJ195" s="19"/>
      <c r="BK195" s="19"/>
      <c r="BL195" s="19"/>
      <c r="BM195" s="19"/>
      <c r="BN195" s="23"/>
      <c r="BO195" s="23"/>
      <c r="BP195" s="19"/>
      <c r="BQ195" s="19"/>
      <c r="BR195" s="19"/>
      <c r="BS195" s="23"/>
    </row>
    <row r="196" customFormat="false" ht="15" hidden="false" customHeight="false" outlineLevel="0" collapsed="false">
      <c r="A196" s="19"/>
      <c r="B196" s="19"/>
      <c r="C196" s="19"/>
      <c r="D196" s="19"/>
      <c r="E196" s="19"/>
      <c r="F196" s="19"/>
      <c r="G196" s="19"/>
      <c r="H196" s="20"/>
      <c r="I196" s="19"/>
      <c r="J196" s="19"/>
      <c r="K196" s="19"/>
      <c r="L196" s="21"/>
      <c r="M196" s="21"/>
      <c r="N196" s="21"/>
      <c r="O196" s="21"/>
      <c r="P196" s="21"/>
      <c r="Q196" s="21"/>
      <c r="R196" s="21"/>
      <c r="S196" s="19"/>
      <c r="T196" s="19"/>
      <c r="U196" s="19"/>
      <c r="V196" s="19"/>
      <c r="W196" s="19"/>
      <c r="X196" s="19"/>
      <c r="Y196" s="19"/>
      <c r="Z196" s="19"/>
      <c r="AA196" s="19"/>
      <c r="AB196" s="19" t="str">
        <f aca="false">IF(NOT(ISNUMBER(Q196)),"",IF(E196="organizer_case",IF(ISNUMBER(P196),ROUND((Q196-P196)*86400,0),""),IF(J196="ADVANCE",IF(ISNUMBER(O196),ROUND((Q196-MAX(O196,N196))*86400,0),""),IF(ISNUMBER(O196),ROUND((Q196-O196)*86400,0),""))))</f>
        <v/>
      </c>
      <c r="AC196" s="19" t="str">
        <f aca="false">IF(AND(ISNUMBER(Q196),ISNUMBER(R196)),ROUND(R196-Q196,2),"")</f>
        <v/>
      </c>
      <c r="AD196" s="19" t="str">
        <f aca="false">IF(AND(ISNUMBER(AB196),ISNUMBER(Z196)),AB196-Z196,"")</f>
        <v/>
      </c>
      <c r="AE196" s="19"/>
      <c r="AF196" s="19"/>
      <c r="AG196" s="22"/>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4"/>
      <c r="BH196" s="23"/>
      <c r="BI196" s="23"/>
      <c r="BJ196" s="19"/>
      <c r="BK196" s="19"/>
      <c r="BL196" s="19"/>
      <c r="BM196" s="19"/>
      <c r="BN196" s="23"/>
      <c r="BO196" s="23"/>
      <c r="BP196" s="19"/>
      <c r="BQ196" s="19"/>
      <c r="BR196" s="19"/>
      <c r="BS196" s="23"/>
    </row>
    <row r="197" customFormat="false" ht="15" hidden="false" customHeight="false" outlineLevel="0" collapsed="false">
      <c r="A197" s="19"/>
      <c r="B197" s="19"/>
      <c r="C197" s="19"/>
      <c r="D197" s="19"/>
      <c r="E197" s="19"/>
      <c r="F197" s="19"/>
      <c r="G197" s="19"/>
      <c r="H197" s="20"/>
      <c r="I197" s="19"/>
      <c r="J197" s="19"/>
      <c r="K197" s="19"/>
      <c r="L197" s="21"/>
      <c r="M197" s="21"/>
      <c r="N197" s="21"/>
      <c r="O197" s="21"/>
      <c r="P197" s="21"/>
      <c r="Q197" s="21"/>
      <c r="R197" s="21"/>
      <c r="S197" s="19"/>
      <c r="T197" s="19"/>
      <c r="U197" s="19"/>
      <c r="V197" s="19"/>
      <c r="W197" s="19"/>
      <c r="X197" s="19"/>
      <c r="Y197" s="19"/>
      <c r="Z197" s="19"/>
      <c r="AA197" s="19"/>
      <c r="AB197" s="19" t="str">
        <f aca="false">IF(NOT(ISNUMBER(Q197)),"",IF(E197="organizer_case",IF(ISNUMBER(P197),ROUND((Q197-P197)*86400,0),""),IF(J197="ADVANCE",IF(ISNUMBER(O197),ROUND((Q197-MAX(O197,N197))*86400,0),""),IF(ISNUMBER(O197),ROUND((Q197-O197)*86400,0),""))))</f>
        <v/>
      </c>
      <c r="AC197" s="19" t="str">
        <f aca="false">IF(AND(ISNUMBER(Q197),ISNUMBER(R197)),ROUND(R197-Q197,2),"")</f>
        <v/>
      </c>
      <c r="AD197" s="19" t="str">
        <f aca="false">IF(AND(ISNUMBER(AB197),ISNUMBER(Z197)),AB197-Z197,"")</f>
        <v/>
      </c>
      <c r="AE197" s="19"/>
      <c r="AF197" s="19"/>
      <c r="AG197" s="22"/>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4"/>
      <c r="BH197" s="23"/>
      <c r="BI197" s="23"/>
      <c r="BJ197" s="19"/>
      <c r="BK197" s="19"/>
      <c r="BL197" s="19"/>
      <c r="BM197" s="19"/>
      <c r="BN197" s="23"/>
      <c r="BO197" s="23"/>
      <c r="BP197" s="19"/>
      <c r="BQ197" s="19"/>
      <c r="BR197" s="19"/>
      <c r="BS197" s="23"/>
    </row>
    <row r="198" customFormat="false" ht="15" hidden="false" customHeight="false" outlineLevel="0" collapsed="false">
      <c r="A198" s="19"/>
      <c r="B198" s="19"/>
      <c r="C198" s="19"/>
      <c r="D198" s="19"/>
      <c r="E198" s="19"/>
      <c r="F198" s="19"/>
      <c r="G198" s="19"/>
      <c r="H198" s="20"/>
      <c r="I198" s="19"/>
      <c r="J198" s="19"/>
      <c r="K198" s="19"/>
      <c r="L198" s="21"/>
      <c r="M198" s="21"/>
      <c r="N198" s="21"/>
      <c r="O198" s="21"/>
      <c r="P198" s="21"/>
      <c r="Q198" s="21"/>
      <c r="R198" s="21"/>
      <c r="S198" s="19"/>
      <c r="T198" s="19"/>
      <c r="U198" s="19"/>
      <c r="V198" s="19"/>
      <c r="W198" s="19"/>
      <c r="X198" s="19"/>
      <c r="Y198" s="19"/>
      <c r="Z198" s="19"/>
      <c r="AA198" s="19"/>
      <c r="AB198" s="19" t="str">
        <f aca="false">IF(NOT(ISNUMBER(Q198)),"",IF(E198="organizer_case",IF(ISNUMBER(P198),ROUND((Q198-P198)*86400,0),""),IF(J198="ADVANCE",IF(ISNUMBER(O198),ROUND((Q198-MAX(O198,N198))*86400,0),""),IF(ISNUMBER(O198),ROUND((Q198-O198)*86400,0),""))))</f>
        <v/>
      </c>
      <c r="AC198" s="19" t="str">
        <f aca="false">IF(AND(ISNUMBER(Q198),ISNUMBER(R198)),ROUND(R198-Q198,2),"")</f>
        <v/>
      </c>
      <c r="AD198" s="19" t="str">
        <f aca="false">IF(AND(ISNUMBER(AB198),ISNUMBER(Z198)),AB198-Z198,"")</f>
        <v/>
      </c>
      <c r="AE198" s="19"/>
      <c r="AF198" s="19"/>
      <c r="AG198" s="22"/>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4"/>
      <c r="BH198" s="23"/>
      <c r="BI198" s="23"/>
      <c r="BJ198" s="19"/>
      <c r="BK198" s="19"/>
      <c r="BL198" s="19"/>
      <c r="BM198" s="19"/>
      <c r="BN198" s="23"/>
      <c r="BO198" s="23"/>
      <c r="BP198" s="19"/>
      <c r="BQ198" s="19"/>
      <c r="BR198" s="19"/>
      <c r="BS198" s="23"/>
    </row>
    <row r="199" customFormat="false" ht="15" hidden="false" customHeight="false" outlineLevel="0" collapsed="false">
      <c r="A199" s="19"/>
      <c r="B199" s="19"/>
      <c r="C199" s="19"/>
      <c r="D199" s="19"/>
      <c r="E199" s="19"/>
      <c r="F199" s="19"/>
      <c r="G199" s="19"/>
      <c r="H199" s="20"/>
      <c r="I199" s="19"/>
      <c r="J199" s="19"/>
      <c r="K199" s="19"/>
      <c r="L199" s="21"/>
      <c r="M199" s="21"/>
      <c r="N199" s="21"/>
      <c r="O199" s="21"/>
      <c r="P199" s="21"/>
      <c r="Q199" s="21"/>
      <c r="R199" s="21"/>
      <c r="S199" s="19"/>
      <c r="T199" s="19"/>
      <c r="U199" s="19"/>
      <c r="V199" s="19"/>
      <c r="W199" s="19"/>
      <c r="X199" s="19"/>
      <c r="Y199" s="19"/>
      <c r="Z199" s="19"/>
      <c r="AA199" s="19"/>
      <c r="AB199" s="19" t="str">
        <f aca="false">IF(NOT(ISNUMBER(Q199)),"",IF(E199="organizer_case",IF(ISNUMBER(P199),ROUND((Q199-P199)*86400,0),""),IF(J199="ADVANCE",IF(ISNUMBER(O199),ROUND((Q199-MAX(O199,N199))*86400,0),""),IF(ISNUMBER(O199),ROUND((Q199-O199)*86400,0),""))))</f>
        <v/>
      </c>
      <c r="AC199" s="19" t="str">
        <f aca="false">IF(AND(ISNUMBER(Q199),ISNUMBER(R199)),ROUND(R199-Q199,2),"")</f>
        <v/>
      </c>
      <c r="AD199" s="19" t="str">
        <f aca="false">IF(AND(ISNUMBER(AB199),ISNUMBER(Z199)),AB199-Z199,"")</f>
        <v/>
      </c>
      <c r="AE199" s="19"/>
      <c r="AF199" s="19"/>
      <c r="AG199" s="22"/>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4"/>
      <c r="BH199" s="23"/>
      <c r="BI199" s="23"/>
      <c r="BJ199" s="19"/>
      <c r="BK199" s="19"/>
      <c r="BL199" s="19"/>
      <c r="BM199" s="19"/>
      <c r="BN199" s="23"/>
      <c r="BO199" s="23"/>
      <c r="BP199" s="19"/>
      <c r="BQ199" s="19"/>
      <c r="BR199" s="19"/>
      <c r="BS199" s="23"/>
    </row>
    <row r="200" customFormat="false" ht="15" hidden="false" customHeight="false" outlineLevel="0" collapsed="false">
      <c r="A200" s="19"/>
      <c r="B200" s="19"/>
      <c r="C200" s="19"/>
      <c r="D200" s="19"/>
      <c r="E200" s="19"/>
      <c r="F200" s="19"/>
      <c r="G200" s="19"/>
      <c r="H200" s="20"/>
      <c r="I200" s="19"/>
      <c r="J200" s="19"/>
      <c r="K200" s="19"/>
      <c r="L200" s="21"/>
      <c r="M200" s="21"/>
      <c r="N200" s="21"/>
      <c r="O200" s="21"/>
      <c r="P200" s="21"/>
      <c r="Q200" s="21"/>
      <c r="R200" s="21"/>
      <c r="S200" s="19"/>
      <c r="T200" s="19"/>
      <c r="U200" s="19"/>
      <c r="V200" s="19"/>
      <c r="W200" s="19"/>
      <c r="X200" s="19"/>
      <c r="Y200" s="19"/>
      <c r="Z200" s="19"/>
      <c r="AA200" s="19"/>
      <c r="AB200" s="19" t="str">
        <f aca="false">IF(NOT(ISNUMBER(Q200)),"",IF(E200="organizer_case",IF(ISNUMBER(P200),ROUND((Q200-P200)*86400,0),""),IF(J200="ADVANCE",IF(ISNUMBER(O200),ROUND((Q200-MAX(O200,N200))*86400,0),""),IF(ISNUMBER(O200),ROUND((Q200-O200)*86400,0),""))))</f>
        <v/>
      </c>
      <c r="AC200" s="19" t="str">
        <f aca="false">IF(AND(ISNUMBER(Q200),ISNUMBER(R200)),ROUND(R200-Q200,2),"")</f>
        <v/>
      </c>
      <c r="AD200" s="19" t="str">
        <f aca="false">IF(AND(ISNUMBER(AB200),ISNUMBER(Z200)),AB200-Z200,"")</f>
        <v/>
      </c>
      <c r="AE200" s="19"/>
      <c r="AF200" s="19"/>
      <c r="AG200" s="22"/>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4"/>
      <c r="BH200" s="23"/>
      <c r="BI200" s="23"/>
      <c r="BJ200" s="19"/>
      <c r="BK200" s="19"/>
      <c r="BL200" s="19"/>
      <c r="BM200" s="19"/>
      <c r="BN200" s="23"/>
      <c r="BO200" s="23"/>
      <c r="BP200" s="19"/>
      <c r="BQ200" s="19"/>
      <c r="BR200" s="19"/>
      <c r="BS200" s="23"/>
    </row>
    <row r="201" customFormat="false" ht="15" hidden="false" customHeight="false" outlineLevel="0" collapsed="false">
      <c r="A201" s="19"/>
      <c r="B201" s="19"/>
      <c r="C201" s="19"/>
      <c r="D201" s="19"/>
      <c r="E201" s="19"/>
      <c r="F201" s="19"/>
      <c r="G201" s="19"/>
      <c r="H201" s="20"/>
      <c r="I201" s="19"/>
      <c r="J201" s="19"/>
      <c r="K201" s="19"/>
      <c r="L201" s="21"/>
      <c r="M201" s="21"/>
      <c r="N201" s="21"/>
      <c r="O201" s="21"/>
      <c r="P201" s="21"/>
      <c r="Q201" s="21"/>
      <c r="R201" s="21"/>
      <c r="S201" s="19"/>
      <c r="T201" s="19"/>
      <c r="U201" s="19"/>
      <c r="V201" s="19"/>
      <c r="W201" s="19"/>
      <c r="X201" s="19"/>
      <c r="Y201" s="19"/>
      <c r="Z201" s="19"/>
      <c r="AA201" s="19"/>
      <c r="AB201" s="19" t="str">
        <f aca="false">IF(NOT(ISNUMBER(Q201)),"",IF(E201="organizer_case",IF(ISNUMBER(P201),ROUND((Q201-P201)*86400,0),""),IF(J201="ADVANCE",IF(ISNUMBER(O201),ROUND((Q201-MAX(O201,N201))*86400,0),""),IF(ISNUMBER(O201),ROUND((Q201-O201)*86400,0),""))))</f>
        <v/>
      </c>
      <c r="AC201" s="19" t="str">
        <f aca="false">IF(AND(ISNUMBER(Q201),ISNUMBER(R201)),ROUND(R201-Q201,2),"")</f>
        <v/>
      </c>
      <c r="AD201" s="19" t="str">
        <f aca="false">IF(AND(ISNUMBER(AB201),ISNUMBER(Z201)),AB201-Z201,"")</f>
        <v/>
      </c>
      <c r="AE201" s="19"/>
      <c r="AF201" s="19"/>
      <c r="AG201" s="22"/>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4"/>
      <c r="BH201" s="23"/>
      <c r="BI201" s="23"/>
      <c r="BJ201" s="19"/>
      <c r="BK201" s="19"/>
      <c r="BL201" s="19"/>
      <c r="BM201" s="19"/>
      <c r="BN201" s="23"/>
      <c r="BO201" s="23"/>
      <c r="BP201" s="19"/>
      <c r="BQ201" s="19"/>
      <c r="BR201" s="19"/>
      <c r="BS201" s="23"/>
    </row>
    <row r="202" customFormat="false" ht="15" hidden="false" customHeight="false" outlineLevel="0" collapsed="false">
      <c r="A202" s="19"/>
      <c r="B202" s="19"/>
      <c r="C202" s="19"/>
      <c r="D202" s="19"/>
      <c r="E202" s="19"/>
      <c r="F202" s="19"/>
      <c r="G202" s="19"/>
      <c r="H202" s="20"/>
      <c r="I202" s="19"/>
      <c r="J202" s="19"/>
      <c r="K202" s="19"/>
      <c r="L202" s="21"/>
      <c r="M202" s="21"/>
      <c r="N202" s="21"/>
      <c r="O202" s="21"/>
      <c r="P202" s="21"/>
      <c r="Q202" s="21"/>
      <c r="R202" s="21"/>
      <c r="S202" s="19"/>
      <c r="T202" s="19"/>
      <c r="U202" s="19"/>
      <c r="V202" s="19"/>
      <c r="W202" s="19"/>
      <c r="X202" s="19"/>
      <c r="Y202" s="19"/>
      <c r="Z202" s="19"/>
      <c r="AA202" s="19"/>
      <c r="AB202" s="19" t="str">
        <f aca="false">IF(NOT(ISNUMBER(Q202)),"",IF(E202="organizer_case",IF(ISNUMBER(P202),ROUND((Q202-P202)*86400,0),""),IF(J202="ADVANCE",IF(ISNUMBER(O202),ROUND((Q202-MAX(O202,N202))*86400,0),""),IF(ISNUMBER(O202),ROUND((Q202-O202)*86400,0),""))))</f>
        <v/>
      </c>
      <c r="AC202" s="19" t="str">
        <f aca="false">IF(AND(ISNUMBER(Q202),ISNUMBER(R202)),ROUND(R202-Q202,2),"")</f>
        <v/>
      </c>
      <c r="AD202" s="19" t="str">
        <f aca="false">IF(AND(ISNUMBER(AB202),ISNUMBER(Z202)),AB202-Z202,"")</f>
        <v/>
      </c>
      <c r="AE202" s="19"/>
      <c r="AF202" s="19"/>
      <c r="AG202" s="22"/>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4"/>
      <c r="BH202" s="23"/>
      <c r="BI202" s="23"/>
      <c r="BJ202" s="19"/>
      <c r="BK202" s="19"/>
      <c r="BL202" s="19"/>
      <c r="BM202" s="19"/>
      <c r="BN202" s="23"/>
      <c r="BO202" s="23"/>
      <c r="BP202" s="19"/>
      <c r="BQ202" s="19"/>
      <c r="BR202" s="19"/>
      <c r="BS202" s="23"/>
    </row>
    <row r="203" customFormat="false" ht="15" hidden="false" customHeight="false" outlineLevel="0" collapsed="false">
      <c r="A203" s="19"/>
      <c r="B203" s="19"/>
      <c r="C203" s="19"/>
      <c r="D203" s="19"/>
      <c r="E203" s="19"/>
      <c r="F203" s="19"/>
      <c r="G203" s="19"/>
      <c r="H203" s="20"/>
      <c r="I203" s="19"/>
      <c r="J203" s="19"/>
      <c r="K203" s="19"/>
      <c r="L203" s="21"/>
      <c r="M203" s="21"/>
      <c r="N203" s="21"/>
      <c r="O203" s="21"/>
      <c r="P203" s="21"/>
      <c r="Q203" s="21"/>
      <c r="R203" s="21"/>
      <c r="S203" s="19"/>
      <c r="T203" s="19"/>
      <c r="U203" s="19"/>
      <c r="V203" s="19"/>
      <c r="W203" s="19"/>
      <c r="X203" s="19"/>
      <c r="Y203" s="19"/>
      <c r="Z203" s="19"/>
      <c r="AA203" s="19"/>
      <c r="AB203" s="19" t="str">
        <f aca="false">IF(NOT(ISNUMBER(Q203)),"",IF(E203="organizer_case",IF(ISNUMBER(P203),ROUND((Q203-P203)*86400,0),""),IF(J203="ADVANCE",IF(ISNUMBER(O203),ROUND((Q203-MAX(O203,N203))*86400,0),""),IF(ISNUMBER(O203),ROUND((Q203-O203)*86400,0),""))))</f>
        <v/>
      </c>
      <c r="AC203" s="19" t="str">
        <f aca="false">IF(AND(ISNUMBER(Q203),ISNUMBER(R203)),ROUND(R203-Q203,2),"")</f>
        <v/>
      </c>
      <c r="AD203" s="19" t="str">
        <f aca="false">IF(AND(ISNUMBER(AB203),ISNUMBER(Z203)),AB203-Z203,"")</f>
        <v/>
      </c>
      <c r="AE203" s="19"/>
      <c r="AF203" s="19"/>
      <c r="AG203" s="22"/>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4"/>
      <c r="BH203" s="23"/>
      <c r="BI203" s="23"/>
      <c r="BJ203" s="19"/>
      <c r="BK203" s="19"/>
      <c r="BL203" s="19"/>
      <c r="BM203" s="19"/>
      <c r="BN203" s="23"/>
      <c r="BO203" s="23"/>
      <c r="BP203" s="19"/>
      <c r="BQ203" s="19"/>
      <c r="BR203" s="19"/>
      <c r="BS203" s="23"/>
    </row>
    <row r="204" customFormat="false" ht="15" hidden="false" customHeight="false" outlineLevel="0" collapsed="false">
      <c r="A204" s="19"/>
      <c r="B204" s="19"/>
      <c r="C204" s="19"/>
      <c r="D204" s="19"/>
      <c r="E204" s="19"/>
      <c r="F204" s="19"/>
      <c r="G204" s="19"/>
      <c r="H204" s="20"/>
      <c r="I204" s="19"/>
      <c r="J204" s="19"/>
      <c r="K204" s="19"/>
      <c r="L204" s="21"/>
      <c r="M204" s="21"/>
      <c r="N204" s="21"/>
      <c r="O204" s="21"/>
      <c r="P204" s="21"/>
      <c r="Q204" s="21"/>
      <c r="R204" s="21"/>
      <c r="S204" s="19"/>
      <c r="T204" s="19"/>
      <c r="U204" s="19"/>
      <c r="V204" s="19"/>
      <c r="W204" s="19"/>
      <c r="X204" s="19"/>
      <c r="Y204" s="19"/>
      <c r="Z204" s="19"/>
      <c r="AA204" s="19"/>
      <c r="AB204" s="19" t="str">
        <f aca="false">IF(NOT(ISNUMBER(Q204)),"",IF(E204="organizer_case",IF(ISNUMBER(P204),ROUND((Q204-P204)*86400,0),""),IF(J204="ADVANCE",IF(ISNUMBER(O204),ROUND((Q204-MAX(O204,N204))*86400,0),""),IF(ISNUMBER(O204),ROUND((Q204-O204)*86400,0),""))))</f>
        <v/>
      </c>
      <c r="AC204" s="19" t="str">
        <f aca="false">IF(AND(ISNUMBER(Q204),ISNUMBER(R204)),ROUND(R204-Q204,2),"")</f>
        <v/>
      </c>
      <c r="AD204" s="19" t="str">
        <f aca="false">IF(AND(ISNUMBER(AB204),ISNUMBER(Z204)),AB204-Z204,"")</f>
        <v/>
      </c>
      <c r="AE204" s="19"/>
      <c r="AF204" s="19"/>
      <c r="AG204" s="22"/>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4"/>
      <c r="BH204" s="23"/>
      <c r="BI204" s="23"/>
      <c r="BJ204" s="19"/>
      <c r="BK204" s="19"/>
      <c r="BL204" s="19"/>
      <c r="BM204" s="19"/>
      <c r="BN204" s="23"/>
      <c r="BO204" s="23"/>
      <c r="BP204" s="19"/>
      <c r="BQ204" s="19"/>
      <c r="BR204" s="19"/>
      <c r="BS204" s="23"/>
    </row>
    <row r="205" customFormat="false" ht="15" hidden="false" customHeight="false" outlineLevel="0" collapsed="false">
      <c r="A205" s="19"/>
      <c r="B205" s="19"/>
      <c r="C205" s="19"/>
      <c r="D205" s="19"/>
      <c r="E205" s="19"/>
      <c r="F205" s="19"/>
      <c r="G205" s="19"/>
      <c r="H205" s="20"/>
      <c r="I205" s="19"/>
      <c r="J205" s="19"/>
      <c r="K205" s="19"/>
      <c r="L205" s="21"/>
      <c r="M205" s="21"/>
      <c r="N205" s="21"/>
      <c r="O205" s="21"/>
      <c r="P205" s="21"/>
      <c r="Q205" s="21"/>
      <c r="R205" s="21"/>
      <c r="S205" s="19"/>
      <c r="T205" s="19"/>
      <c r="U205" s="19"/>
      <c r="V205" s="19"/>
      <c r="W205" s="19"/>
      <c r="X205" s="19"/>
      <c r="Y205" s="19"/>
      <c r="Z205" s="19"/>
      <c r="AA205" s="19"/>
      <c r="AB205" s="19" t="str">
        <f aca="false">IF(NOT(ISNUMBER(Q205)),"",IF(E205="organizer_case",IF(ISNUMBER(P205),ROUND((Q205-P205)*86400,0),""),IF(J205="ADVANCE",IF(ISNUMBER(O205),ROUND((Q205-MAX(O205,N205))*86400,0),""),IF(ISNUMBER(O205),ROUND((Q205-O205)*86400,0),""))))</f>
        <v/>
      </c>
      <c r="AC205" s="19" t="str">
        <f aca="false">IF(AND(ISNUMBER(Q205),ISNUMBER(R205)),ROUND(R205-Q205,2),"")</f>
        <v/>
      </c>
      <c r="AD205" s="19" t="str">
        <f aca="false">IF(AND(ISNUMBER(AB205),ISNUMBER(Z205)),AB205-Z205,"")</f>
        <v/>
      </c>
      <c r="AE205" s="19"/>
      <c r="AF205" s="19"/>
      <c r="AG205" s="22"/>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4"/>
      <c r="BH205" s="23"/>
      <c r="BI205" s="23"/>
      <c r="BJ205" s="19"/>
      <c r="BK205" s="19"/>
      <c r="BL205" s="19"/>
      <c r="BM205" s="19"/>
      <c r="BN205" s="23"/>
      <c r="BO205" s="23"/>
      <c r="BP205" s="19"/>
      <c r="BQ205" s="19"/>
      <c r="BR205" s="19"/>
      <c r="BS205" s="23"/>
    </row>
    <row r="206" customFormat="false" ht="15" hidden="false" customHeight="false" outlineLevel="0" collapsed="false">
      <c r="A206" s="19"/>
      <c r="B206" s="19"/>
      <c r="C206" s="19"/>
      <c r="D206" s="19"/>
      <c r="E206" s="19"/>
      <c r="F206" s="19"/>
      <c r="G206" s="19"/>
      <c r="H206" s="20"/>
      <c r="I206" s="19"/>
      <c r="J206" s="19"/>
      <c r="K206" s="19"/>
      <c r="L206" s="21"/>
      <c r="M206" s="21"/>
      <c r="N206" s="21"/>
      <c r="O206" s="21"/>
      <c r="P206" s="21"/>
      <c r="Q206" s="21"/>
      <c r="R206" s="21"/>
      <c r="S206" s="19"/>
      <c r="T206" s="19"/>
      <c r="U206" s="19"/>
      <c r="V206" s="19"/>
      <c r="W206" s="19"/>
      <c r="X206" s="19"/>
      <c r="Y206" s="19"/>
      <c r="Z206" s="19"/>
      <c r="AA206" s="19"/>
      <c r="AB206" s="19" t="str">
        <f aca="false">IF(NOT(ISNUMBER(Q206)),"",IF(E206="organizer_case",IF(ISNUMBER(P206),ROUND((Q206-P206)*86400,0),""),IF(J206="ADVANCE",IF(ISNUMBER(O206),ROUND((Q206-MAX(O206,N206))*86400,0),""),IF(ISNUMBER(O206),ROUND((Q206-O206)*86400,0),""))))</f>
        <v/>
      </c>
      <c r="AC206" s="19" t="str">
        <f aca="false">IF(AND(ISNUMBER(Q206),ISNUMBER(R206)),ROUND(R206-Q206,2),"")</f>
        <v/>
      </c>
      <c r="AD206" s="19" t="str">
        <f aca="false">IF(AND(ISNUMBER(AB206),ISNUMBER(Z206)),AB206-Z206,"")</f>
        <v/>
      </c>
      <c r="AE206" s="19"/>
      <c r="AF206" s="19"/>
      <c r="AG206" s="22"/>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4"/>
      <c r="BH206" s="23"/>
      <c r="BI206" s="23"/>
      <c r="BJ206" s="19"/>
      <c r="BK206" s="19"/>
      <c r="BL206" s="19"/>
      <c r="BM206" s="19"/>
      <c r="BN206" s="23"/>
      <c r="BO206" s="23"/>
      <c r="BP206" s="19"/>
      <c r="BQ206" s="19"/>
      <c r="BR206" s="19"/>
      <c r="BS206" s="23"/>
    </row>
    <row r="207" customFormat="false" ht="15" hidden="false" customHeight="false" outlineLevel="0" collapsed="false">
      <c r="A207" s="19"/>
      <c r="B207" s="19"/>
      <c r="C207" s="19"/>
      <c r="D207" s="19"/>
      <c r="E207" s="19"/>
      <c r="F207" s="19"/>
      <c r="G207" s="19"/>
      <c r="H207" s="20"/>
      <c r="I207" s="19"/>
      <c r="J207" s="19"/>
      <c r="K207" s="19"/>
      <c r="L207" s="21"/>
      <c r="M207" s="21"/>
      <c r="N207" s="21"/>
      <c r="O207" s="21"/>
      <c r="P207" s="21"/>
      <c r="Q207" s="21"/>
      <c r="R207" s="21"/>
      <c r="S207" s="19"/>
      <c r="T207" s="19"/>
      <c r="U207" s="19"/>
      <c r="V207" s="19"/>
      <c r="W207" s="19"/>
      <c r="X207" s="19"/>
      <c r="Y207" s="19"/>
      <c r="Z207" s="19"/>
      <c r="AA207" s="19"/>
      <c r="AB207" s="19" t="str">
        <f aca="false">IF(NOT(ISNUMBER(Q207)),"",IF(E207="organizer_case",IF(ISNUMBER(P207),ROUND((Q207-P207)*86400,0),""),IF(J207="ADVANCE",IF(ISNUMBER(O207),ROUND((Q207-MAX(O207,N207))*86400,0),""),IF(ISNUMBER(O207),ROUND((Q207-O207)*86400,0),""))))</f>
        <v/>
      </c>
      <c r="AC207" s="19" t="str">
        <f aca="false">IF(AND(ISNUMBER(Q207),ISNUMBER(R207)),ROUND(R207-Q207,2),"")</f>
        <v/>
      </c>
      <c r="AD207" s="19" t="str">
        <f aca="false">IF(AND(ISNUMBER(AB207),ISNUMBER(Z207)),AB207-Z207,"")</f>
        <v/>
      </c>
      <c r="AE207" s="19"/>
      <c r="AF207" s="19"/>
      <c r="AG207" s="22"/>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4"/>
      <c r="BH207" s="23"/>
      <c r="BI207" s="23"/>
      <c r="BJ207" s="19"/>
      <c r="BK207" s="19"/>
      <c r="BL207" s="19"/>
      <c r="BM207" s="19"/>
      <c r="BN207" s="23"/>
      <c r="BO207" s="23"/>
      <c r="BP207" s="19"/>
      <c r="BQ207" s="19"/>
      <c r="BR207" s="19"/>
      <c r="BS207" s="23"/>
    </row>
    <row r="208" customFormat="false" ht="15" hidden="false" customHeight="false" outlineLevel="0" collapsed="false">
      <c r="A208" s="19"/>
      <c r="B208" s="19"/>
      <c r="C208" s="19"/>
      <c r="D208" s="19"/>
      <c r="E208" s="19"/>
      <c r="F208" s="19"/>
      <c r="G208" s="19"/>
      <c r="H208" s="20"/>
      <c r="I208" s="19"/>
      <c r="J208" s="19"/>
      <c r="K208" s="19"/>
      <c r="L208" s="21"/>
      <c r="M208" s="21"/>
      <c r="N208" s="21"/>
      <c r="O208" s="21"/>
      <c r="P208" s="21"/>
      <c r="Q208" s="21"/>
      <c r="R208" s="21"/>
      <c r="S208" s="19"/>
      <c r="T208" s="19"/>
      <c r="U208" s="19"/>
      <c r="V208" s="19"/>
      <c r="W208" s="19"/>
      <c r="X208" s="19"/>
      <c r="Y208" s="19"/>
      <c r="Z208" s="19"/>
      <c r="AA208" s="19"/>
      <c r="AB208" s="19" t="str">
        <f aca="false">IF(NOT(ISNUMBER(Q208)),"",IF(E208="organizer_case",IF(ISNUMBER(P208),ROUND((Q208-P208)*86400,0),""),IF(J208="ADVANCE",IF(ISNUMBER(O208),ROUND((Q208-MAX(O208,N208))*86400,0),""),IF(ISNUMBER(O208),ROUND((Q208-O208)*86400,0),""))))</f>
        <v/>
      </c>
      <c r="AC208" s="19" t="str">
        <f aca="false">IF(AND(ISNUMBER(Q208),ISNUMBER(R208)),ROUND(R208-Q208,2),"")</f>
        <v/>
      </c>
      <c r="AD208" s="19" t="str">
        <f aca="false">IF(AND(ISNUMBER(AB208),ISNUMBER(Z208)),AB208-Z208,"")</f>
        <v/>
      </c>
      <c r="AE208" s="19"/>
      <c r="AF208" s="19"/>
      <c r="AG208" s="22"/>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4"/>
      <c r="BH208" s="23"/>
      <c r="BI208" s="23"/>
      <c r="BJ208" s="19"/>
      <c r="BK208" s="19"/>
      <c r="BL208" s="19"/>
      <c r="BM208" s="19"/>
      <c r="BN208" s="23"/>
      <c r="BO208" s="23"/>
      <c r="BP208" s="19"/>
      <c r="BQ208" s="19"/>
      <c r="BR208" s="19"/>
      <c r="BS208" s="23"/>
    </row>
    <row r="209" customFormat="false" ht="15" hidden="false" customHeight="false" outlineLevel="0" collapsed="false">
      <c r="A209" s="19"/>
      <c r="B209" s="19"/>
      <c r="C209" s="19"/>
      <c r="D209" s="19"/>
      <c r="E209" s="19"/>
      <c r="F209" s="19"/>
      <c r="G209" s="19"/>
      <c r="H209" s="20"/>
      <c r="I209" s="19"/>
      <c r="J209" s="19"/>
      <c r="K209" s="19"/>
      <c r="L209" s="21"/>
      <c r="M209" s="21"/>
      <c r="N209" s="21"/>
      <c r="O209" s="21"/>
      <c r="P209" s="21"/>
      <c r="Q209" s="21"/>
      <c r="R209" s="21"/>
      <c r="S209" s="19"/>
      <c r="T209" s="19"/>
      <c r="U209" s="19"/>
      <c r="V209" s="19"/>
      <c r="W209" s="19"/>
      <c r="X209" s="19"/>
      <c r="Y209" s="19"/>
      <c r="Z209" s="19"/>
      <c r="AA209" s="19"/>
      <c r="AB209" s="19" t="str">
        <f aca="false">IF(NOT(ISNUMBER(Q209)),"",IF(E209="organizer_case",IF(ISNUMBER(P209),ROUND((Q209-P209)*86400,0),""),IF(J209="ADVANCE",IF(ISNUMBER(O209),ROUND((Q209-MAX(O209,N209))*86400,0),""),IF(ISNUMBER(O209),ROUND((Q209-O209)*86400,0),""))))</f>
        <v/>
      </c>
      <c r="AC209" s="19" t="str">
        <f aca="false">IF(AND(ISNUMBER(Q209),ISNUMBER(R209)),ROUND(R209-Q209,2),"")</f>
        <v/>
      </c>
      <c r="AD209" s="19" t="str">
        <f aca="false">IF(AND(ISNUMBER(AB209),ISNUMBER(Z209)),AB209-Z209,"")</f>
        <v/>
      </c>
      <c r="AE209" s="19"/>
      <c r="AF209" s="19"/>
      <c r="AG209" s="22"/>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4"/>
      <c r="BH209" s="23"/>
      <c r="BI209" s="23"/>
      <c r="BJ209" s="19"/>
      <c r="BK209" s="19"/>
      <c r="BL209" s="19"/>
      <c r="BM209" s="19"/>
      <c r="BN209" s="23"/>
      <c r="BO209" s="23"/>
      <c r="BP209" s="19"/>
      <c r="BQ209" s="19"/>
      <c r="BR209" s="19"/>
      <c r="BS209" s="23"/>
    </row>
    <row r="210" customFormat="false" ht="15" hidden="false" customHeight="false" outlineLevel="0" collapsed="false">
      <c r="A210" s="19"/>
      <c r="B210" s="19"/>
      <c r="C210" s="19"/>
      <c r="D210" s="19"/>
      <c r="E210" s="19"/>
      <c r="F210" s="19"/>
      <c r="G210" s="19"/>
      <c r="H210" s="20"/>
      <c r="I210" s="19"/>
      <c r="J210" s="19"/>
      <c r="K210" s="19"/>
      <c r="L210" s="21"/>
      <c r="M210" s="21"/>
      <c r="N210" s="21"/>
      <c r="O210" s="21"/>
      <c r="P210" s="21"/>
      <c r="Q210" s="21"/>
      <c r="R210" s="21"/>
      <c r="S210" s="19"/>
      <c r="T210" s="19"/>
      <c r="U210" s="19"/>
      <c r="V210" s="19"/>
      <c r="W210" s="19"/>
      <c r="X210" s="19"/>
      <c r="Y210" s="19"/>
      <c r="Z210" s="19"/>
      <c r="AA210" s="19"/>
      <c r="AB210" s="19" t="str">
        <f aca="false">IF(NOT(ISNUMBER(Q210)),"",IF(E210="organizer_case",IF(ISNUMBER(P210),ROUND((Q210-P210)*86400,0),""),IF(J210="ADVANCE",IF(ISNUMBER(O210),ROUND((Q210-MAX(O210,N210))*86400,0),""),IF(ISNUMBER(O210),ROUND((Q210-O210)*86400,0),""))))</f>
        <v/>
      </c>
      <c r="AC210" s="19" t="str">
        <f aca="false">IF(AND(ISNUMBER(Q210),ISNUMBER(R210)),ROUND(R210-Q210,2),"")</f>
        <v/>
      </c>
      <c r="AD210" s="19" t="str">
        <f aca="false">IF(AND(ISNUMBER(AB210),ISNUMBER(Z210)),AB210-Z210,"")</f>
        <v/>
      </c>
      <c r="AE210" s="19"/>
      <c r="AF210" s="19"/>
      <c r="AG210" s="22"/>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4"/>
      <c r="BH210" s="23"/>
      <c r="BI210" s="23"/>
      <c r="BJ210" s="19"/>
      <c r="BK210" s="19"/>
      <c r="BL210" s="19"/>
      <c r="BM210" s="19"/>
      <c r="BN210" s="23"/>
      <c r="BO210" s="23"/>
      <c r="BP210" s="19"/>
      <c r="BQ210" s="19"/>
      <c r="BR210" s="19"/>
      <c r="BS210" s="23"/>
    </row>
    <row r="211" customFormat="false" ht="15" hidden="false" customHeight="false" outlineLevel="0" collapsed="false">
      <c r="A211" s="19"/>
      <c r="B211" s="19"/>
      <c r="C211" s="19"/>
      <c r="D211" s="19"/>
      <c r="E211" s="19"/>
      <c r="F211" s="19"/>
      <c r="G211" s="19"/>
      <c r="H211" s="20"/>
      <c r="I211" s="19"/>
      <c r="J211" s="19"/>
      <c r="K211" s="19"/>
      <c r="L211" s="21"/>
      <c r="M211" s="21"/>
      <c r="N211" s="21"/>
      <c r="O211" s="21"/>
      <c r="P211" s="21"/>
      <c r="Q211" s="21"/>
      <c r="R211" s="21"/>
      <c r="S211" s="19"/>
      <c r="T211" s="19"/>
      <c r="U211" s="19"/>
      <c r="V211" s="19"/>
      <c r="W211" s="19"/>
      <c r="X211" s="19"/>
      <c r="Y211" s="19"/>
      <c r="Z211" s="19"/>
      <c r="AA211" s="19"/>
      <c r="AB211" s="19" t="str">
        <f aca="false">IF(NOT(ISNUMBER(Q211)),"",IF(E211="organizer_case",IF(ISNUMBER(P211),ROUND((Q211-P211)*86400,0),""),IF(J211="ADVANCE",IF(ISNUMBER(O211),ROUND((Q211-MAX(O211,N211))*86400,0),""),IF(ISNUMBER(O211),ROUND((Q211-O211)*86400,0),""))))</f>
        <v/>
      </c>
      <c r="AC211" s="19" t="str">
        <f aca="false">IF(AND(ISNUMBER(Q211),ISNUMBER(R211)),ROUND(R211-Q211,2),"")</f>
        <v/>
      </c>
      <c r="AD211" s="19" t="str">
        <f aca="false">IF(AND(ISNUMBER(AB211),ISNUMBER(Z211)),AB211-Z211,"")</f>
        <v/>
      </c>
      <c r="AE211" s="19"/>
      <c r="AF211" s="19"/>
      <c r="AG211" s="22"/>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4"/>
      <c r="BH211" s="23"/>
      <c r="BI211" s="23"/>
      <c r="BJ211" s="19"/>
      <c r="BK211" s="19"/>
      <c r="BL211" s="19"/>
      <c r="BM211" s="19"/>
      <c r="BN211" s="23"/>
      <c r="BO211" s="23"/>
      <c r="BP211" s="19"/>
      <c r="BQ211" s="19"/>
      <c r="BR211" s="19"/>
      <c r="BS211" s="23"/>
    </row>
    <row r="212" customFormat="false" ht="15" hidden="false" customHeight="false" outlineLevel="0" collapsed="false">
      <c r="A212" s="19"/>
      <c r="B212" s="19"/>
      <c r="C212" s="19"/>
      <c r="D212" s="19"/>
      <c r="E212" s="19"/>
      <c r="F212" s="19"/>
      <c r="G212" s="19"/>
      <c r="H212" s="20"/>
      <c r="I212" s="19"/>
      <c r="J212" s="19"/>
      <c r="K212" s="19"/>
      <c r="L212" s="21"/>
      <c r="M212" s="21"/>
      <c r="N212" s="21"/>
      <c r="O212" s="21"/>
      <c r="P212" s="21"/>
      <c r="Q212" s="21"/>
      <c r="R212" s="21"/>
      <c r="S212" s="19"/>
      <c r="T212" s="19"/>
      <c r="U212" s="19"/>
      <c r="V212" s="19"/>
      <c r="W212" s="19"/>
      <c r="X212" s="19"/>
      <c r="Y212" s="19"/>
      <c r="Z212" s="19"/>
      <c r="AA212" s="19"/>
      <c r="AB212" s="19" t="str">
        <f aca="false">IF(NOT(ISNUMBER(Q212)),"",IF(E212="organizer_case",IF(ISNUMBER(P212),ROUND((Q212-P212)*86400,0),""),IF(J212="ADVANCE",IF(ISNUMBER(O212),ROUND((Q212-MAX(O212,N212))*86400,0),""),IF(ISNUMBER(O212),ROUND((Q212-O212)*86400,0),""))))</f>
        <v/>
      </c>
      <c r="AC212" s="19" t="str">
        <f aca="false">IF(AND(ISNUMBER(Q212),ISNUMBER(R212)),ROUND(R212-Q212,2),"")</f>
        <v/>
      </c>
      <c r="AD212" s="19" t="str">
        <f aca="false">IF(AND(ISNUMBER(AB212),ISNUMBER(Z212)),AB212-Z212,"")</f>
        <v/>
      </c>
      <c r="AE212" s="19"/>
      <c r="AF212" s="19"/>
      <c r="AG212" s="22"/>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4"/>
      <c r="BH212" s="23"/>
      <c r="BI212" s="23"/>
      <c r="BJ212" s="19"/>
      <c r="BK212" s="19"/>
      <c r="BL212" s="19"/>
      <c r="BM212" s="19"/>
      <c r="BN212" s="23"/>
      <c r="BO212" s="23"/>
      <c r="BP212" s="19"/>
      <c r="BQ212" s="19"/>
      <c r="BR212" s="19"/>
      <c r="BS212" s="23"/>
    </row>
    <row r="213" customFormat="false" ht="15" hidden="false" customHeight="false" outlineLevel="0" collapsed="false">
      <c r="A213" s="19"/>
      <c r="B213" s="19"/>
      <c r="C213" s="19"/>
      <c r="D213" s="19"/>
      <c r="E213" s="19"/>
      <c r="F213" s="19"/>
      <c r="G213" s="19"/>
      <c r="H213" s="20"/>
      <c r="I213" s="19"/>
      <c r="J213" s="19"/>
      <c r="K213" s="19"/>
      <c r="L213" s="21"/>
      <c r="M213" s="21"/>
      <c r="N213" s="21"/>
      <c r="O213" s="21"/>
      <c r="P213" s="21"/>
      <c r="Q213" s="21"/>
      <c r="R213" s="21"/>
      <c r="S213" s="19"/>
      <c r="T213" s="19"/>
      <c r="U213" s="19"/>
      <c r="V213" s="19"/>
      <c r="W213" s="19"/>
      <c r="X213" s="19"/>
      <c r="Y213" s="19"/>
      <c r="Z213" s="19"/>
      <c r="AA213" s="19"/>
      <c r="AB213" s="19" t="str">
        <f aca="false">IF(NOT(ISNUMBER(Q213)),"",IF(E213="organizer_case",IF(ISNUMBER(P213),ROUND((Q213-P213)*86400,0),""),IF(J213="ADVANCE",IF(ISNUMBER(O213),ROUND((Q213-MAX(O213,N213))*86400,0),""),IF(ISNUMBER(O213),ROUND((Q213-O213)*86400,0),""))))</f>
        <v/>
      </c>
      <c r="AC213" s="19" t="str">
        <f aca="false">IF(AND(ISNUMBER(Q213),ISNUMBER(R213)),ROUND(R213-Q213,2),"")</f>
        <v/>
      </c>
      <c r="AD213" s="19" t="str">
        <f aca="false">IF(AND(ISNUMBER(AB213),ISNUMBER(Z213)),AB213-Z213,"")</f>
        <v/>
      </c>
      <c r="AE213" s="19"/>
      <c r="AF213" s="19"/>
      <c r="AG213" s="22"/>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4"/>
      <c r="BH213" s="23"/>
      <c r="BI213" s="23"/>
      <c r="BJ213" s="19"/>
      <c r="BK213" s="19"/>
      <c r="BL213" s="19"/>
      <c r="BM213" s="19"/>
      <c r="BN213" s="23"/>
      <c r="BO213" s="23"/>
      <c r="BP213" s="19"/>
      <c r="BQ213" s="19"/>
      <c r="BR213" s="19"/>
      <c r="BS213" s="23"/>
    </row>
    <row r="214" customFormat="false" ht="15" hidden="false" customHeight="false" outlineLevel="0" collapsed="false">
      <c r="A214" s="19"/>
      <c r="B214" s="19"/>
      <c r="C214" s="19"/>
      <c r="D214" s="19"/>
      <c r="E214" s="19"/>
      <c r="F214" s="19"/>
      <c r="G214" s="19"/>
      <c r="H214" s="20"/>
      <c r="I214" s="19"/>
      <c r="J214" s="19"/>
      <c r="K214" s="19"/>
      <c r="L214" s="21"/>
      <c r="M214" s="21"/>
      <c r="N214" s="21"/>
      <c r="O214" s="21"/>
      <c r="P214" s="21"/>
      <c r="Q214" s="21"/>
      <c r="R214" s="21"/>
      <c r="S214" s="19"/>
      <c r="T214" s="19"/>
      <c r="U214" s="19"/>
      <c r="V214" s="19"/>
      <c r="W214" s="19"/>
      <c r="X214" s="19"/>
      <c r="Y214" s="19"/>
      <c r="Z214" s="19"/>
      <c r="AA214" s="19"/>
      <c r="AB214" s="19" t="str">
        <f aca="false">IF(NOT(ISNUMBER(Q214)),"",IF(E214="organizer_case",IF(ISNUMBER(P214),ROUND((Q214-P214)*86400,0),""),IF(J214="ADVANCE",IF(ISNUMBER(O214),ROUND((Q214-MAX(O214,N214))*86400,0),""),IF(ISNUMBER(O214),ROUND((Q214-O214)*86400,0),""))))</f>
        <v/>
      </c>
      <c r="AC214" s="19" t="str">
        <f aca="false">IF(AND(ISNUMBER(Q214),ISNUMBER(R214)),ROUND(R214-Q214,2),"")</f>
        <v/>
      </c>
      <c r="AD214" s="19" t="str">
        <f aca="false">IF(AND(ISNUMBER(AB214),ISNUMBER(Z214)),AB214-Z214,"")</f>
        <v/>
      </c>
      <c r="AE214" s="19"/>
      <c r="AF214" s="19"/>
      <c r="AG214" s="22"/>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4"/>
      <c r="BH214" s="23"/>
      <c r="BI214" s="23"/>
      <c r="BJ214" s="19"/>
      <c r="BK214" s="19"/>
      <c r="BL214" s="19"/>
      <c r="BM214" s="19"/>
      <c r="BN214" s="23"/>
      <c r="BO214" s="23"/>
      <c r="BP214" s="19"/>
      <c r="BQ214" s="19"/>
      <c r="BR214" s="19"/>
      <c r="BS214" s="23"/>
    </row>
    <row r="215" customFormat="false" ht="15" hidden="false" customHeight="false" outlineLevel="0" collapsed="false">
      <c r="A215" s="19"/>
      <c r="B215" s="19"/>
      <c r="C215" s="19"/>
      <c r="D215" s="19"/>
      <c r="E215" s="19"/>
      <c r="F215" s="19"/>
      <c r="G215" s="19"/>
      <c r="H215" s="20"/>
      <c r="I215" s="19"/>
      <c r="J215" s="19"/>
      <c r="K215" s="19"/>
      <c r="L215" s="21"/>
      <c r="M215" s="21"/>
      <c r="N215" s="21"/>
      <c r="O215" s="21"/>
      <c r="P215" s="21"/>
      <c r="Q215" s="21"/>
      <c r="R215" s="21"/>
      <c r="S215" s="19"/>
      <c r="T215" s="19"/>
      <c r="U215" s="19"/>
      <c r="V215" s="19"/>
      <c r="W215" s="19"/>
      <c r="X215" s="19"/>
      <c r="Y215" s="19"/>
      <c r="Z215" s="19"/>
      <c r="AA215" s="19"/>
      <c r="AB215" s="19" t="str">
        <f aca="false">IF(NOT(ISNUMBER(Q215)),"",IF(E215="organizer_case",IF(ISNUMBER(P215),ROUND((Q215-P215)*86400,0),""),IF(J215="ADVANCE",IF(ISNUMBER(O215),ROUND((Q215-MAX(O215,N215))*86400,0),""),IF(ISNUMBER(O215),ROUND((Q215-O215)*86400,0),""))))</f>
        <v/>
      </c>
      <c r="AC215" s="19" t="str">
        <f aca="false">IF(AND(ISNUMBER(Q215),ISNUMBER(R215)),ROUND(R215-Q215,2),"")</f>
        <v/>
      </c>
      <c r="AD215" s="19" t="str">
        <f aca="false">IF(AND(ISNUMBER(AB215),ISNUMBER(Z215)),AB215-Z215,"")</f>
        <v/>
      </c>
      <c r="AE215" s="19"/>
      <c r="AF215" s="19"/>
      <c r="AG215" s="22"/>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4"/>
      <c r="BH215" s="23"/>
      <c r="BI215" s="23"/>
      <c r="BJ215" s="19"/>
      <c r="BK215" s="19"/>
      <c r="BL215" s="19"/>
      <c r="BM215" s="19"/>
      <c r="BN215" s="23"/>
      <c r="BO215" s="23"/>
      <c r="BP215" s="19"/>
      <c r="BQ215" s="19"/>
      <c r="BR215" s="19"/>
      <c r="BS215" s="23"/>
    </row>
    <row r="216" customFormat="false" ht="15" hidden="false" customHeight="false" outlineLevel="0" collapsed="false">
      <c r="A216" s="19"/>
      <c r="B216" s="19"/>
      <c r="C216" s="19"/>
      <c r="D216" s="19"/>
      <c r="E216" s="19"/>
      <c r="F216" s="19"/>
      <c r="G216" s="19"/>
      <c r="H216" s="20"/>
      <c r="I216" s="19"/>
      <c r="J216" s="19"/>
      <c r="K216" s="19"/>
      <c r="L216" s="21"/>
      <c r="M216" s="21"/>
      <c r="N216" s="21"/>
      <c r="O216" s="21"/>
      <c r="P216" s="21"/>
      <c r="Q216" s="21"/>
      <c r="R216" s="21"/>
      <c r="S216" s="19"/>
      <c r="T216" s="19"/>
      <c r="U216" s="19"/>
      <c r="V216" s="19"/>
      <c r="W216" s="19"/>
      <c r="X216" s="19"/>
      <c r="Y216" s="19"/>
      <c r="Z216" s="19"/>
      <c r="AA216" s="19"/>
      <c r="AB216" s="19" t="str">
        <f aca="false">IF(NOT(ISNUMBER(Q216)),"",IF(E216="organizer_case",IF(ISNUMBER(P216),ROUND((Q216-P216)*86400,0),""),IF(J216="ADVANCE",IF(ISNUMBER(O216),ROUND((Q216-MAX(O216,N216))*86400,0),""),IF(ISNUMBER(O216),ROUND((Q216-O216)*86400,0),""))))</f>
        <v/>
      </c>
      <c r="AC216" s="19" t="str">
        <f aca="false">IF(AND(ISNUMBER(Q216),ISNUMBER(R216)),ROUND(R216-Q216,2),"")</f>
        <v/>
      </c>
      <c r="AD216" s="19" t="str">
        <f aca="false">IF(AND(ISNUMBER(AB216),ISNUMBER(Z216)),AB216-Z216,"")</f>
        <v/>
      </c>
      <c r="AE216" s="19"/>
      <c r="AF216" s="19"/>
      <c r="AG216" s="22"/>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4"/>
      <c r="BH216" s="23"/>
      <c r="BI216" s="23"/>
      <c r="BJ216" s="19"/>
      <c r="BK216" s="19"/>
      <c r="BL216" s="19"/>
      <c r="BM216" s="19"/>
      <c r="BN216" s="23"/>
      <c r="BO216" s="23"/>
      <c r="BP216" s="19"/>
      <c r="BQ216" s="19"/>
      <c r="BR216" s="19"/>
      <c r="BS216" s="23"/>
    </row>
    <row r="217" customFormat="false" ht="15" hidden="false" customHeight="false" outlineLevel="0" collapsed="false">
      <c r="A217" s="19"/>
      <c r="B217" s="19"/>
      <c r="C217" s="19"/>
      <c r="D217" s="19"/>
      <c r="E217" s="19"/>
      <c r="F217" s="19"/>
      <c r="G217" s="19"/>
      <c r="H217" s="20"/>
      <c r="I217" s="19"/>
      <c r="J217" s="19"/>
      <c r="K217" s="19"/>
      <c r="L217" s="21"/>
      <c r="M217" s="21"/>
      <c r="N217" s="21"/>
      <c r="O217" s="21"/>
      <c r="P217" s="21"/>
      <c r="Q217" s="21"/>
      <c r="R217" s="21"/>
      <c r="S217" s="19"/>
      <c r="T217" s="19"/>
      <c r="U217" s="19"/>
      <c r="V217" s="19"/>
      <c r="W217" s="19"/>
      <c r="X217" s="19"/>
      <c r="Y217" s="19"/>
      <c r="Z217" s="19"/>
      <c r="AA217" s="19"/>
      <c r="AB217" s="19" t="str">
        <f aca="false">IF(NOT(ISNUMBER(Q217)),"",IF(E217="organizer_case",IF(ISNUMBER(P217),ROUND((Q217-P217)*86400,0),""),IF(J217="ADVANCE",IF(ISNUMBER(O217),ROUND((Q217-MAX(O217,N217))*86400,0),""),IF(ISNUMBER(O217),ROUND((Q217-O217)*86400,0),""))))</f>
        <v/>
      </c>
      <c r="AC217" s="19" t="str">
        <f aca="false">IF(AND(ISNUMBER(Q217),ISNUMBER(R217)),ROUND(R217-Q217,2),"")</f>
        <v/>
      </c>
      <c r="AD217" s="19" t="str">
        <f aca="false">IF(AND(ISNUMBER(AB217),ISNUMBER(Z217)),AB217-Z217,"")</f>
        <v/>
      </c>
      <c r="AE217" s="19"/>
      <c r="AF217" s="19"/>
      <c r="AG217" s="22"/>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4"/>
      <c r="BH217" s="23"/>
      <c r="BI217" s="23"/>
      <c r="BJ217" s="19"/>
      <c r="BK217" s="19"/>
      <c r="BL217" s="19"/>
      <c r="BM217" s="19"/>
      <c r="BN217" s="23"/>
      <c r="BO217" s="23"/>
      <c r="BP217" s="19"/>
      <c r="BQ217" s="19"/>
      <c r="BR217" s="19"/>
      <c r="BS217" s="23"/>
    </row>
    <row r="218" customFormat="false" ht="15" hidden="false" customHeight="false" outlineLevel="0" collapsed="false">
      <c r="A218" s="19"/>
      <c r="B218" s="19"/>
      <c r="C218" s="19"/>
      <c r="D218" s="19"/>
      <c r="E218" s="19"/>
      <c r="F218" s="19"/>
      <c r="G218" s="19"/>
      <c r="H218" s="20"/>
      <c r="I218" s="19"/>
      <c r="J218" s="19"/>
      <c r="K218" s="19"/>
      <c r="L218" s="21"/>
      <c r="M218" s="21"/>
      <c r="N218" s="21"/>
      <c r="O218" s="21"/>
      <c r="P218" s="21"/>
      <c r="Q218" s="21"/>
      <c r="R218" s="21"/>
      <c r="S218" s="19"/>
      <c r="T218" s="19"/>
      <c r="U218" s="19"/>
      <c r="V218" s="19"/>
      <c r="W218" s="19"/>
      <c r="X218" s="19"/>
      <c r="Y218" s="19"/>
      <c r="Z218" s="19"/>
      <c r="AA218" s="19"/>
      <c r="AB218" s="19" t="str">
        <f aca="false">IF(NOT(ISNUMBER(Q218)),"",IF(E218="organizer_case",IF(ISNUMBER(P218),ROUND((Q218-P218)*86400,0),""),IF(J218="ADVANCE",IF(ISNUMBER(O218),ROUND((Q218-MAX(O218,N218))*86400,0),""),IF(ISNUMBER(O218),ROUND((Q218-O218)*86400,0),""))))</f>
        <v/>
      </c>
      <c r="AC218" s="19" t="str">
        <f aca="false">IF(AND(ISNUMBER(Q218),ISNUMBER(R218)),ROUND(R218-Q218,2),"")</f>
        <v/>
      </c>
      <c r="AD218" s="19" t="str">
        <f aca="false">IF(AND(ISNUMBER(AB218),ISNUMBER(Z218)),AB218-Z218,"")</f>
        <v/>
      </c>
      <c r="AE218" s="19"/>
      <c r="AF218" s="19"/>
      <c r="AG218" s="22"/>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4"/>
      <c r="BH218" s="23"/>
      <c r="BI218" s="23"/>
      <c r="BJ218" s="19"/>
      <c r="BK218" s="19"/>
      <c r="BL218" s="19"/>
      <c r="BM218" s="19"/>
      <c r="BN218" s="23"/>
      <c r="BO218" s="23"/>
      <c r="BP218" s="19"/>
      <c r="BQ218" s="19"/>
      <c r="BR218" s="19"/>
      <c r="BS218" s="23"/>
    </row>
    <row r="219" customFormat="false" ht="15" hidden="false" customHeight="false" outlineLevel="0" collapsed="false">
      <c r="A219" s="19"/>
      <c r="B219" s="19"/>
      <c r="C219" s="19"/>
      <c r="D219" s="19"/>
      <c r="E219" s="19"/>
      <c r="F219" s="19"/>
      <c r="G219" s="19"/>
      <c r="H219" s="20"/>
      <c r="I219" s="19"/>
      <c r="J219" s="19"/>
      <c r="K219" s="19"/>
      <c r="L219" s="21"/>
      <c r="M219" s="21"/>
      <c r="N219" s="21"/>
      <c r="O219" s="21"/>
      <c r="P219" s="21"/>
      <c r="Q219" s="21"/>
      <c r="R219" s="21"/>
      <c r="S219" s="19"/>
      <c r="T219" s="19"/>
      <c r="U219" s="19"/>
      <c r="V219" s="19"/>
      <c r="W219" s="19"/>
      <c r="X219" s="19"/>
      <c r="Y219" s="19"/>
      <c r="Z219" s="19"/>
      <c r="AA219" s="19"/>
      <c r="AB219" s="19" t="str">
        <f aca="false">IF(NOT(ISNUMBER(Q219)),"",IF(E219="organizer_case",IF(ISNUMBER(P219),ROUND((Q219-P219)*86400,0),""),IF(J219="ADVANCE",IF(ISNUMBER(O219),ROUND((Q219-MAX(O219,N219))*86400,0),""),IF(ISNUMBER(O219),ROUND((Q219-O219)*86400,0),""))))</f>
        <v/>
      </c>
      <c r="AC219" s="19" t="str">
        <f aca="false">IF(AND(ISNUMBER(Q219),ISNUMBER(R219)),ROUND(R219-Q219,2),"")</f>
        <v/>
      </c>
      <c r="AD219" s="19" t="str">
        <f aca="false">IF(AND(ISNUMBER(AB219),ISNUMBER(Z219)),AB219-Z219,"")</f>
        <v/>
      </c>
      <c r="AE219" s="19"/>
      <c r="AF219" s="19"/>
      <c r="AG219" s="22"/>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4"/>
      <c r="BH219" s="23"/>
      <c r="BI219" s="23"/>
      <c r="BJ219" s="19"/>
      <c r="BK219" s="19"/>
      <c r="BL219" s="19"/>
      <c r="BM219" s="19"/>
      <c r="BN219" s="23"/>
      <c r="BO219" s="23"/>
      <c r="BP219" s="19"/>
      <c r="BQ219" s="19"/>
      <c r="BR219" s="19"/>
      <c r="BS219" s="23"/>
    </row>
    <row r="220" customFormat="false" ht="15" hidden="false" customHeight="false" outlineLevel="0" collapsed="false">
      <c r="A220" s="19"/>
      <c r="B220" s="19"/>
      <c r="C220" s="19"/>
      <c r="D220" s="19"/>
      <c r="E220" s="19"/>
      <c r="F220" s="19"/>
      <c r="G220" s="19"/>
      <c r="H220" s="20"/>
      <c r="I220" s="19"/>
      <c r="J220" s="19"/>
      <c r="K220" s="19"/>
      <c r="L220" s="21"/>
      <c r="M220" s="21"/>
      <c r="N220" s="21"/>
      <c r="O220" s="21"/>
      <c r="P220" s="21"/>
      <c r="Q220" s="21"/>
      <c r="R220" s="21"/>
      <c r="S220" s="19"/>
      <c r="T220" s="19"/>
      <c r="U220" s="19"/>
      <c r="V220" s="19"/>
      <c r="W220" s="19"/>
      <c r="X220" s="19"/>
      <c r="Y220" s="19"/>
      <c r="Z220" s="19"/>
      <c r="AA220" s="19"/>
      <c r="AB220" s="19" t="str">
        <f aca="false">IF(NOT(ISNUMBER(Q220)),"",IF(E220="organizer_case",IF(ISNUMBER(P220),ROUND((Q220-P220)*86400,0),""),IF(J220="ADVANCE",IF(ISNUMBER(O220),ROUND((Q220-MAX(O220,N220))*86400,0),""),IF(ISNUMBER(O220),ROUND((Q220-O220)*86400,0),""))))</f>
        <v/>
      </c>
      <c r="AC220" s="19" t="str">
        <f aca="false">IF(AND(ISNUMBER(Q220),ISNUMBER(R220)),ROUND(R220-Q220,2),"")</f>
        <v/>
      </c>
      <c r="AD220" s="19" t="str">
        <f aca="false">IF(AND(ISNUMBER(AB220),ISNUMBER(Z220)),AB220-Z220,"")</f>
        <v/>
      </c>
      <c r="AE220" s="19"/>
      <c r="AF220" s="19"/>
      <c r="AG220" s="22"/>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4"/>
      <c r="BH220" s="23"/>
      <c r="BI220" s="23"/>
      <c r="BJ220" s="19"/>
      <c r="BK220" s="19"/>
      <c r="BL220" s="19"/>
      <c r="BM220" s="19"/>
      <c r="BN220" s="23"/>
      <c r="BO220" s="23"/>
      <c r="BP220" s="19"/>
      <c r="BQ220" s="19"/>
      <c r="BR220" s="19"/>
      <c r="BS220" s="23"/>
    </row>
    <row r="221" customFormat="false" ht="15" hidden="false" customHeight="false" outlineLevel="0" collapsed="false">
      <c r="A221" s="19"/>
      <c r="B221" s="19"/>
      <c r="C221" s="19"/>
      <c r="D221" s="19"/>
      <c r="E221" s="19"/>
      <c r="F221" s="19"/>
      <c r="G221" s="19"/>
      <c r="H221" s="20"/>
      <c r="I221" s="19"/>
      <c r="J221" s="19"/>
      <c r="K221" s="19"/>
      <c r="L221" s="21"/>
      <c r="M221" s="21"/>
      <c r="N221" s="21"/>
      <c r="O221" s="21"/>
      <c r="P221" s="21"/>
      <c r="Q221" s="21"/>
      <c r="R221" s="21"/>
      <c r="S221" s="19"/>
      <c r="T221" s="19"/>
      <c r="U221" s="19"/>
      <c r="V221" s="19"/>
      <c r="W221" s="19"/>
      <c r="X221" s="19"/>
      <c r="Y221" s="19"/>
      <c r="Z221" s="19"/>
      <c r="AA221" s="19"/>
      <c r="AB221" s="19" t="str">
        <f aca="false">IF(NOT(ISNUMBER(Q221)),"",IF(E221="organizer_case",IF(ISNUMBER(P221),ROUND((Q221-P221)*86400,0),""),IF(J221="ADVANCE",IF(ISNUMBER(O221),ROUND((Q221-MAX(O221,N221))*86400,0),""),IF(ISNUMBER(O221),ROUND((Q221-O221)*86400,0),""))))</f>
        <v/>
      </c>
      <c r="AC221" s="19" t="str">
        <f aca="false">IF(AND(ISNUMBER(Q221),ISNUMBER(R221)),ROUND(R221-Q221,2),"")</f>
        <v/>
      </c>
      <c r="AD221" s="19" t="str">
        <f aca="false">IF(AND(ISNUMBER(AB221),ISNUMBER(Z221)),AB221-Z221,"")</f>
        <v/>
      </c>
      <c r="AE221" s="19"/>
      <c r="AF221" s="19"/>
      <c r="AG221" s="22"/>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4"/>
      <c r="BH221" s="23"/>
      <c r="BI221" s="23"/>
      <c r="BJ221" s="19"/>
      <c r="BK221" s="19"/>
      <c r="BL221" s="19"/>
      <c r="BM221" s="19"/>
      <c r="BN221" s="23"/>
      <c r="BO221" s="23"/>
      <c r="BP221" s="19"/>
      <c r="BQ221" s="19"/>
      <c r="BR221" s="19"/>
      <c r="BS221" s="23"/>
    </row>
    <row r="222" customFormat="false" ht="15" hidden="false" customHeight="false" outlineLevel="0" collapsed="false">
      <c r="A222" s="19"/>
      <c r="B222" s="19"/>
      <c r="C222" s="19"/>
      <c r="D222" s="19"/>
      <c r="E222" s="19"/>
      <c r="F222" s="19"/>
      <c r="G222" s="19"/>
      <c r="H222" s="20"/>
      <c r="I222" s="19"/>
      <c r="J222" s="19"/>
      <c r="K222" s="19"/>
      <c r="L222" s="21"/>
      <c r="M222" s="21"/>
      <c r="N222" s="21"/>
      <c r="O222" s="21"/>
      <c r="P222" s="21"/>
      <c r="Q222" s="21"/>
      <c r="R222" s="21"/>
      <c r="S222" s="19"/>
      <c r="T222" s="19"/>
      <c r="U222" s="19"/>
      <c r="V222" s="19"/>
      <c r="W222" s="19"/>
      <c r="X222" s="19"/>
      <c r="Y222" s="19"/>
      <c r="Z222" s="19"/>
      <c r="AA222" s="19"/>
      <c r="AB222" s="19" t="str">
        <f aca="false">IF(NOT(ISNUMBER(Q222)),"",IF(E222="organizer_case",IF(ISNUMBER(P222),ROUND((Q222-P222)*86400,0),""),IF(J222="ADVANCE",IF(ISNUMBER(O222),ROUND((Q222-MAX(O222,N222))*86400,0),""),IF(ISNUMBER(O222),ROUND((Q222-O222)*86400,0),""))))</f>
        <v/>
      </c>
      <c r="AC222" s="19" t="str">
        <f aca="false">IF(AND(ISNUMBER(Q222),ISNUMBER(R222)),ROUND(R222-Q222,2),"")</f>
        <v/>
      </c>
      <c r="AD222" s="19" t="str">
        <f aca="false">IF(AND(ISNUMBER(AB222),ISNUMBER(Z222)),AB222-Z222,"")</f>
        <v/>
      </c>
      <c r="AE222" s="19"/>
      <c r="AF222" s="19"/>
      <c r="AG222" s="22"/>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4"/>
      <c r="BH222" s="23"/>
      <c r="BI222" s="23"/>
      <c r="BJ222" s="19"/>
      <c r="BK222" s="19"/>
      <c r="BL222" s="19"/>
      <c r="BM222" s="19"/>
      <c r="BN222" s="23"/>
      <c r="BO222" s="23"/>
      <c r="BP222" s="19"/>
      <c r="BQ222" s="19"/>
      <c r="BR222" s="19"/>
      <c r="BS222" s="23"/>
    </row>
    <row r="223" customFormat="false" ht="15" hidden="false" customHeight="false" outlineLevel="0" collapsed="false">
      <c r="A223" s="19"/>
      <c r="B223" s="19"/>
      <c r="C223" s="19"/>
      <c r="D223" s="19"/>
      <c r="E223" s="19"/>
      <c r="F223" s="19"/>
      <c r="G223" s="19"/>
      <c r="H223" s="20"/>
      <c r="I223" s="19"/>
      <c r="J223" s="19"/>
      <c r="K223" s="19"/>
      <c r="L223" s="21"/>
      <c r="M223" s="21"/>
      <c r="N223" s="21"/>
      <c r="O223" s="21"/>
      <c r="P223" s="21"/>
      <c r="Q223" s="21"/>
      <c r="R223" s="21"/>
      <c r="S223" s="19"/>
      <c r="T223" s="19"/>
      <c r="U223" s="19"/>
      <c r="V223" s="19"/>
      <c r="W223" s="19"/>
      <c r="X223" s="19"/>
      <c r="Y223" s="19"/>
      <c r="Z223" s="19"/>
      <c r="AA223" s="19"/>
      <c r="AB223" s="19" t="str">
        <f aca="false">IF(NOT(ISNUMBER(Q223)),"",IF(E223="organizer_case",IF(ISNUMBER(P223),ROUND((Q223-P223)*86400,0),""),IF(J223="ADVANCE",IF(ISNUMBER(O223),ROUND((Q223-MAX(O223,N223))*86400,0),""),IF(ISNUMBER(O223),ROUND((Q223-O223)*86400,0),""))))</f>
        <v/>
      </c>
      <c r="AC223" s="19" t="str">
        <f aca="false">IF(AND(ISNUMBER(Q223),ISNUMBER(R223)),ROUND(R223-Q223,2),"")</f>
        <v/>
      </c>
      <c r="AD223" s="19" t="str">
        <f aca="false">IF(AND(ISNUMBER(AB223),ISNUMBER(Z223)),AB223-Z223,"")</f>
        <v/>
      </c>
      <c r="AE223" s="19"/>
      <c r="AF223" s="19"/>
      <c r="AG223" s="22"/>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4"/>
      <c r="BH223" s="23"/>
      <c r="BI223" s="23"/>
      <c r="BJ223" s="19"/>
      <c r="BK223" s="19"/>
      <c r="BL223" s="19"/>
      <c r="BM223" s="19"/>
      <c r="BN223" s="23"/>
      <c r="BO223" s="23"/>
      <c r="BP223" s="19"/>
      <c r="BQ223" s="19"/>
      <c r="BR223" s="19"/>
      <c r="BS223" s="23"/>
    </row>
    <row r="224" customFormat="false" ht="15" hidden="false" customHeight="false" outlineLevel="0" collapsed="false">
      <c r="A224" s="19"/>
      <c r="B224" s="19"/>
      <c r="C224" s="19"/>
      <c r="D224" s="19"/>
      <c r="E224" s="19"/>
      <c r="F224" s="19"/>
      <c r="G224" s="19"/>
      <c r="H224" s="20"/>
      <c r="I224" s="19"/>
      <c r="J224" s="19"/>
      <c r="K224" s="19"/>
      <c r="L224" s="21"/>
      <c r="M224" s="21"/>
      <c r="N224" s="21"/>
      <c r="O224" s="21"/>
      <c r="P224" s="21"/>
      <c r="Q224" s="21"/>
      <c r="R224" s="21"/>
      <c r="S224" s="19"/>
      <c r="T224" s="19"/>
      <c r="U224" s="19"/>
      <c r="V224" s="19"/>
      <c r="W224" s="19"/>
      <c r="X224" s="19"/>
      <c r="Y224" s="19"/>
      <c r="Z224" s="19"/>
      <c r="AA224" s="19"/>
      <c r="AB224" s="19" t="str">
        <f aca="false">IF(NOT(ISNUMBER(Q224)),"",IF(E224="organizer_case",IF(ISNUMBER(P224),ROUND((Q224-P224)*86400,0),""),IF(J224="ADVANCE",IF(ISNUMBER(O224),ROUND((Q224-MAX(O224,N224))*86400,0),""),IF(ISNUMBER(O224),ROUND((Q224-O224)*86400,0),""))))</f>
        <v/>
      </c>
      <c r="AC224" s="19" t="str">
        <f aca="false">IF(AND(ISNUMBER(Q224),ISNUMBER(R224)),ROUND(R224-Q224,2),"")</f>
        <v/>
      </c>
      <c r="AD224" s="19" t="str">
        <f aca="false">IF(AND(ISNUMBER(AB224),ISNUMBER(Z224)),AB224-Z224,"")</f>
        <v/>
      </c>
      <c r="AE224" s="19"/>
      <c r="AF224" s="19"/>
      <c r="AG224" s="22"/>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4"/>
      <c r="BH224" s="23"/>
      <c r="BI224" s="23"/>
      <c r="BJ224" s="19"/>
      <c r="BK224" s="19"/>
      <c r="BL224" s="19"/>
      <c r="BM224" s="19"/>
      <c r="BN224" s="23"/>
      <c r="BO224" s="23"/>
      <c r="BP224" s="19"/>
      <c r="BQ224" s="19"/>
      <c r="BR224" s="19"/>
      <c r="BS224" s="23"/>
    </row>
    <row r="225" customFormat="false" ht="15" hidden="false" customHeight="false" outlineLevel="0" collapsed="false">
      <c r="A225" s="19"/>
      <c r="B225" s="19"/>
      <c r="C225" s="19"/>
      <c r="D225" s="19"/>
      <c r="E225" s="19"/>
      <c r="F225" s="19"/>
      <c r="G225" s="19"/>
      <c r="H225" s="20"/>
      <c r="I225" s="19"/>
      <c r="J225" s="19"/>
      <c r="K225" s="19"/>
      <c r="L225" s="21"/>
      <c r="M225" s="21"/>
      <c r="N225" s="21"/>
      <c r="O225" s="21"/>
      <c r="P225" s="21"/>
      <c r="Q225" s="21"/>
      <c r="R225" s="21"/>
      <c r="S225" s="19"/>
      <c r="T225" s="19"/>
      <c r="U225" s="19"/>
      <c r="V225" s="19"/>
      <c r="W225" s="19"/>
      <c r="X225" s="19"/>
      <c r="Y225" s="19"/>
      <c r="Z225" s="19"/>
      <c r="AA225" s="19"/>
      <c r="AB225" s="19" t="str">
        <f aca="false">IF(NOT(ISNUMBER(Q225)),"",IF(E225="organizer_case",IF(ISNUMBER(P225),ROUND((Q225-P225)*86400,0),""),IF(J225="ADVANCE",IF(ISNUMBER(O225),ROUND((Q225-MAX(O225,N225))*86400,0),""),IF(ISNUMBER(O225),ROUND((Q225-O225)*86400,0),""))))</f>
        <v/>
      </c>
      <c r="AC225" s="19" t="str">
        <f aca="false">IF(AND(ISNUMBER(Q225),ISNUMBER(R225)),ROUND(R225-Q225,2),"")</f>
        <v/>
      </c>
      <c r="AD225" s="19" t="str">
        <f aca="false">IF(AND(ISNUMBER(AB225),ISNUMBER(Z225)),AB225-Z225,"")</f>
        <v/>
      </c>
      <c r="AE225" s="19"/>
      <c r="AF225" s="19"/>
      <c r="AG225" s="22"/>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4"/>
      <c r="BH225" s="23"/>
      <c r="BI225" s="23"/>
      <c r="BJ225" s="19"/>
      <c r="BK225" s="19"/>
      <c r="BL225" s="19"/>
      <c r="BM225" s="19"/>
      <c r="BN225" s="23"/>
      <c r="BO225" s="23"/>
      <c r="BP225" s="19"/>
      <c r="BQ225" s="19"/>
      <c r="BR225" s="19"/>
      <c r="BS225" s="23"/>
    </row>
    <row r="226" customFormat="false" ht="15" hidden="false" customHeight="false" outlineLevel="0" collapsed="false">
      <c r="A226" s="19"/>
      <c r="B226" s="19"/>
      <c r="C226" s="19"/>
      <c r="D226" s="19"/>
      <c r="E226" s="19"/>
      <c r="F226" s="19"/>
      <c r="G226" s="19"/>
      <c r="H226" s="20"/>
      <c r="I226" s="19"/>
      <c r="J226" s="19"/>
      <c r="K226" s="19"/>
      <c r="L226" s="21"/>
      <c r="M226" s="21"/>
      <c r="N226" s="21"/>
      <c r="O226" s="21"/>
      <c r="P226" s="21"/>
      <c r="Q226" s="21"/>
      <c r="R226" s="21"/>
      <c r="S226" s="19"/>
      <c r="T226" s="19"/>
      <c r="U226" s="19"/>
      <c r="V226" s="19"/>
      <c r="W226" s="19"/>
      <c r="X226" s="19"/>
      <c r="Y226" s="19"/>
      <c r="Z226" s="19"/>
      <c r="AA226" s="19"/>
      <c r="AB226" s="19" t="str">
        <f aca="false">IF(NOT(ISNUMBER(Q226)),"",IF(E226="organizer_case",IF(ISNUMBER(P226),ROUND((Q226-P226)*86400,0),""),IF(J226="ADVANCE",IF(ISNUMBER(O226),ROUND((Q226-MAX(O226,N226))*86400,0),""),IF(ISNUMBER(O226),ROUND((Q226-O226)*86400,0),""))))</f>
        <v/>
      </c>
      <c r="AC226" s="19" t="str">
        <f aca="false">IF(AND(ISNUMBER(Q226),ISNUMBER(R226)),ROUND(R226-Q226,2),"")</f>
        <v/>
      </c>
      <c r="AD226" s="19" t="str">
        <f aca="false">IF(AND(ISNUMBER(AB226),ISNUMBER(Z226)),AB226-Z226,"")</f>
        <v/>
      </c>
      <c r="AE226" s="19"/>
      <c r="AF226" s="19"/>
      <c r="AG226" s="22"/>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4"/>
      <c r="BH226" s="23"/>
      <c r="BI226" s="23"/>
      <c r="BJ226" s="19"/>
      <c r="BK226" s="19"/>
      <c r="BL226" s="19"/>
      <c r="BM226" s="19"/>
      <c r="BN226" s="23"/>
      <c r="BO226" s="23"/>
      <c r="BP226" s="19"/>
      <c r="BQ226" s="19"/>
      <c r="BR226" s="19"/>
      <c r="BS226" s="23"/>
    </row>
    <row r="227" customFormat="false" ht="15" hidden="false" customHeight="false" outlineLevel="0" collapsed="false">
      <c r="A227" s="19"/>
      <c r="B227" s="19"/>
      <c r="C227" s="19"/>
      <c r="D227" s="19"/>
      <c r="E227" s="19"/>
      <c r="F227" s="19"/>
      <c r="G227" s="19"/>
      <c r="H227" s="20"/>
      <c r="I227" s="19"/>
      <c r="J227" s="19"/>
      <c r="K227" s="19"/>
      <c r="L227" s="21"/>
      <c r="M227" s="21"/>
      <c r="N227" s="21"/>
      <c r="O227" s="21"/>
      <c r="P227" s="21"/>
      <c r="Q227" s="21"/>
      <c r="R227" s="21"/>
      <c r="S227" s="19"/>
      <c r="T227" s="19"/>
      <c r="U227" s="19"/>
      <c r="V227" s="19"/>
      <c r="W227" s="19"/>
      <c r="X227" s="19"/>
      <c r="Y227" s="19"/>
      <c r="Z227" s="19"/>
      <c r="AA227" s="19"/>
      <c r="AB227" s="19" t="str">
        <f aca="false">IF(NOT(ISNUMBER(Q227)),"",IF(E227="organizer_case",IF(ISNUMBER(P227),ROUND((Q227-P227)*86400,0),""),IF(J227="ADVANCE",IF(ISNUMBER(O227),ROUND((Q227-MAX(O227,N227))*86400,0),""),IF(ISNUMBER(O227),ROUND((Q227-O227)*86400,0),""))))</f>
        <v/>
      </c>
      <c r="AC227" s="19" t="str">
        <f aca="false">IF(AND(ISNUMBER(Q227),ISNUMBER(R227)),ROUND(R227-Q227,2),"")</f>
        <v/>
      </c>
      <c r="AD227" s="19" t="str">
        <f aca="false">IF(AND(ISNUMBER(AB227),ISNUMBER(Z227)),AB227-Z227,"")</f>
        <v/>
      </c>
      <c r="AE227" s="19"/>
      <c r="AF227" s="19"/>
      <c r="AG227" s="22"/>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4"/>
      <c r="BH227" s="23"/>
      <c r="BI227" s="23"/>
      <c r="BJ227" s="19"/>
      <c r="BK227" s="19"/>
      <c r="BL227" s="19"/>
      <c r="BM227" s="19"/>
      <c r="BN227" s="23"/>
      <c r="BO227" s="23"/>
      <c r="BP227" s="19"/>
      <c r="BQ227" s="19"/>
      <c r="BR227" s="19"/>
      <c r="BS227" s="23"/>
    </row>
    <row r="228" customFormat="false" ht="15" hidden="false" customHeight="false" outlineLevel="0" collapsed="false">
      <c r="A228" s="19"/>
      <c r="B228" s="19"/>
      <c r="C228" s="19"/>
      <c r="D228" s="19"/>
      <c r="E228" s="19"/>
      <c r="F228" s="19"/>
      <c r="G228" s="19"/>
      <c r="H228" s="20"/>
      <c r="I228" s="19"/>
      <c r="J228" s="19"/>
      <c r="K228" s="19"/>
      <c r="L228" s="21"/>
      <c r="M228" s="21"/>
      <c r="N228" s="21"/>
      <c r="O228" s="21"/>
      <c r="P228" s="21"/>
      <c r="Q228" s="21"/>
      <c r="R228" s="21"/>
      <c r="S228" s="19"/>
      <c r="T228" s="19"/>
      <c r="U228" s="19"/>
      <c r="V228" s="19"/>
      <c r="W228" s="19"/>
      <c r="X228" s="19"/>
      <c r="Y228" s="19"/>
      <c r="Z228" s="19"/>
      <c r="AA228" s="19"/>
      <c r="AB228" s="19" t="str">
        <f aca="false">IF(NOT(ISNUMBER(Q228)),"",IF(E228="organizer_case",IF(ISNUMBER(P228),ROUND((Q228-P228)*86400,0),""),IF(J228="ADVANCE",IF(ISNUMBER(O228),ROUND((Q228-MAX(O228,N228))*86400,0),""),IF(ISNUMBER(O228),ROUND((Q228-O228)*86400,0),""))))</f>
        <v/>
      </c>
      <c r="AC228" s="19" t="str">
        <f aca="false">IF(AND(ISNUMBER(Q228),ISNUMBER(R228)),ROUND(R228-Q228,2),"")</f>
        <v/>
      </c>
      <c r="AD228" s="19" t="str">
        <f aca="false">IF(AND(ISNUMBER(AB228),ISNUMBER(Z228)),AB228-Z228,"")</f>
        <v/>
      </c>
      <c r="AE228" s="19"/>
      <c r="AF228" s="19"/>
      <c r="AG228" s="22"/>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4"/>
      <c r="BH228" s="23"/>
      <c r="BI228" s="23"/>
      <c r="BJ228" s="19"/>
      <c r="BK228" s="19"/>
      <c r="BL228" s="19"/>
      <c r="BM228" s="19"/>
      <c r="BN228" s="23"/>
      <c r="BO228" s="23"/>
      <c r="BP228" s="19"/>
      <c r="BQ228" s="19"/>
      <c r="BR228" s="19"/>
      <c r="BS228" s="23"/>
    </row>
    <row r="229" customFormat="false" ht="15" hidden="false" customHeight="false" outlineLevel="0" collapsed="false">
      <c r="A229" s="19"/>
      <c r="B229" s="19"/>
      <c r="C229" s="19"/>
      <c r="D229" s="19"/>
      <c r="E229" s="19"/>
      <c r="F229" s="19"/>
      <c r="G229" s="19"/>
      <c r="H229" s="20"/>
      <c r="I229" s="19"/>
      <c r="J229" s="19"/>
      <c r="K229" s="19"/>
      <c r="L229" s="21"/>
      <c r="M229" s="21"/>
      <c r="N229" s="21"/>
      <c r="O229" s="21"/>
      <c r="P229" s="21"/>
      <c r="Q229" s="21"/>
      <c r="R229" s="21"/>
      <c r="S229" s="19"/>
      <c r="T229" s="19"/>
      <c r="U229" s="19"/>
      <c r="V229" s="19"/>
      <c r="W229" s="19"/>
      <c r="X229" s="19"/>
      <c r="Y229" s="19"/>
      <c r="Z229" s="19"/>
      <c r="AA229" s="19"/>
      <c r="AB229" s="19" t="str">
        <f aca="false">IF(NOT(ISNUMBER(Q229)),"",IF(E229="organizer_case",IF(ISNUMBER(P229),ROUND((Q229-P229)*86400,0),""),IF(J229="ADVANCE",IF(ISNUMBER(O229),ROUND((Q229-MAX(O229,N229))*86400,0),""),IF(ISNUMBER(O229),ROUND((Q229-O229)*86400,0),""))))</f>
        <v/>
      </c>
      <c r="AC229" s="19" t="str">
        <f aca="false">IF(AND(ISNUMBER(Q229),ISNUMBER(R229)),ROUND(R229-Q229,2),"")</f>
        <v/>
      </c>
      <c r="AD229" s="19" t="str">
        <f aca="false">IF(AND(ISNUMBER(AB229),ISNUMBER(Z229)),AB229-Z229,"")</f>
        <v/>
      </c>
      <c r="AE229" s="19"/>
      <c r="AF229" s="19"/>
      <c r="AG229" s="22"/>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4"/>
      <c r="BH229" s="23"/>
      <c r="BI229" s="23"/>
      <c r="BJ229" s="19"/>
      <c r="BK229" s="19"/>
      <c r="BL229" s="19"/>
      <c r="BM229" s="19"/>
      <c r="BN229" s="23"/>
      <c r="BO229" s="23"/>
      <c r="BP229" s="19"/>
      <c r="BQ229" s="19"/>
      <c r="BR229" s="19"/>
      <c r="BS229" s="23"/>
    </row>
    <row r="230" customFormat="false" ht="15" hidden="false" customHeight="false" outlineLevel="0" collapsed="false">
      <c r="A230" s="19"/>
      <c r="B230" s="19"/>
      <c r="C230" s="19"/>
      <c r="D230" s="19"/>
      <c r="E230" s="19"/>
      <c r="F230" s="19"/>
      <c r="G230" s="19"/>
      <c r="H230" s="20"/>
      <c r="I230" s="19"/>
      <c r="J230" s="19"/>
      <c r="K230" s="19"/>
      <c r="L230" s="21"/>
      <c r="M230" s="21"/>
      <c r="N230" s="21"/>
      <c r="O230" s="21"/>
      <c r="P230" s="21"/>
      <c r="Q230" s="21"/>
      <c r="R230" s="21"/>
      <c r="S230" s="19"/>
      <c r="T230" s="19"/>
      <c r="U230" s="19"/>
      <c r="V230" s="19"/>
      <c r="W230" s="19"/>
      <c r="X230" s="19"/>
      <c r="Y230" s="19"/>
      <c r="Z230" s="19"/>
      <c r="AA230" s="19"/>
      <c r="AB230" s="19" t="str">
        <f aca="false">IF(NOT(ISNUMBER(Q230)),"",IF(E230="organizer_case",IF(ISNUMBER(P230),ROUND((Q230-P230)*86400,0),""),IF(J230="ADVANCE",IF(ISNUMBER(O230),ROUND((Q230-MAX(O230,N230))*86400,0),""),IF(ISNUMBER(O230),ROUND((Q230-O230)*86400,0),""))))</f>
        <v/>
      </c>
      <c r="AC230" s="19" t="str">
        <f aca="false">IF(AND(ISNUMBER(Q230),ISNUMBER(R230)),ROUND(R230-Q230,2),"")</f>
        <v/>
      </c>
      <c r="AD230" s="19" t="str">
        <f aca="false">IF(AND(ISNUMBER(AB230),ISNUMBER(Z230)),AB230-Z230,"")</f>
        <v/>
      </c>
      <c r="AE230" s="19"/>
      <c r="AF230" s="19"/>
      <c r="AG230" s="22"/>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4"/>
      <c r="BH230" s="23"/>
      <c r="BI230" s="23"/>
      <c r="BJ230" s="19"/>
      <c r="BK230" s="19"/>
      <c r="BL230" s="19"/>
      <c r="BM230" s="19"/>
      <c r="BN230" s="23"/>
      <c r="BO230" s="23"/>
      <c r="BP230" s="19"/>
      <c r="BQ230" s="19"/>
      <c r="BR230" s="19"/>
      <c r="BS230" s="23"/>
    </row>
    <row r="231" customFormat="false" ht="15" hidden="false" customHeight="false" outlineLevel="0" collapsed="false">
      <c r="A231" s="19"/>
      <c r="B231" s="19"/>
      <c r="C231" s="19"/>
      <c r="D231" s="19"/>
      <c r="E231" s="19"/>
      <c r="F231" s="19"/>
      <c r="G231" s="19"/>
      <c r="H231" s="20"/>
      <c r="I231" s="19"/>
      <c r="J231" s="19"/>
      <c r="K231" s="19"/>
      <c r="L231" s="21"/>
      <c r="M231" s="21"/>
      <c r="N231" s="21"/>
      <c r="O231" s="21"/>
      <c r="P231" s="21"/>
      <c r="Q231" s="21"/>
      <c r="R231" s="21"/>
      <c r="S231" s="19"/>
      <c r="T231" s="19"/>
      <c r="U231" s="19"/>
      <c r="V231" s="19"/>
      <c r="W231" s="19"/>
      <c r="X231" s="19"/>
      <c r="Y231" s="19"/>
      <c r="Z231" s="19"/>
      <c r="AA231" s="19"/>
      <c r="AB231" s="19" t="str">
        <f aca="false">IF(NOT(ISNUMBER(Q231)),"",IF(E231="organizer_case",IF(ISNUMBER(P231),ROUND((Q231-P231)*86400,0),""),IF(J231="ADVANCE",IF(ISNUMBER(O231),ROUND((Q231-MAX(O231,N231))*86400,0),""),IF(ISNUMBER(O231),ROUND((Q231-O231)*86400,0),""))))</f>
        <v/>
      </c>
      <c r="AC231" s="19" t="str">
        <f aca="false">IF(AND(ISNUMBER(Q231),ISNUMBER(R231)),ROUND(R231-Q231,2),"")</f>
        <v/>
      </c>
      <c r="AD231" s="19" t="str">
        <f aca="false">IF(AND(ISNUMBER(AB231),ISNUMBER(Z231)),AB231-Z231,"")</f>
        <v/>
      </c>
      <c r="AE231" s="19"/>
      <c r="AF231" s="19"/>
      <c r="AG231" s="22"/>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4"/>
      <c r="BH231" s="23"/>
      <c r="BI231" s="23"/>
      <c r="BJ231" s="19"/>
      <c r="BK231" s="19"/>
      <c r="BL231" s="19"/>
      <c r="BM231" s="19"/>
      <c r="BN231" s="23"/>
      <c r="BO231" s="23"/>
      <c r="BP231" s="19"/>
      <c r="BQ231" s="19"/>
      <c r="BR231" s="19"/>
      <c r="BS231" s="23"/>
    </row>
    <row r="232" customFormat="false" ht="15" hidden="false" customHeight="false" outlineLevel="0" collapsed="false">
      <c r="A232" s="19"/>
      <c r="B232" s="19"/>
      <c r="C232" s="19"/>
      <c r="D232" s="19"/>
      <c r="E232" s="19"/>
      <c r="F232" s="19"/>
      <c r="G232" s="19"/>
      <c r="H232" s="20"/>
      <c r="I232" s="19"/>
      <c r="J232" s="19"/>
      <c r="K232" s="19"/>
      <c r="L232" s="21"/>
      <c r="M232" s="21"/>
      <c r="N232" s="21"/>
      <c r="O232" s="21"/>
      <c r="P232" s="21"/>
      <c r="Q232" s="21"/>
      <c r="R232" s="21"/>
      <c r="S232" s="19"/>
      <c r="T232" s="19"/>
      <c r="U232" s="19"/>
      <c r="V232" s="19"/>
      <c r="W232" s="19"/>
      <c r="X232" s="19"/>
      <c r="Y232" s="19"/>
      <c r="Z232" s="19"/>
      <c r="AA232" s="19"/>
      <c r="AB232" s="19" t="str">
        <f aca="false">IF(NOT(ISNUMBER(Q232)),"",IF(E232="organizer_case",IF(ISNUMBER(P232),ROUND((Q232-P232)*86400,0),""),IF(J232="ADVANCE",IF(ISNUMBER(O232),ROUND((Q232-MAX(O232,N232))*86400,0),""),IF(ISNUMBER(O232),ROUND((Q232-O232)*86400,0),""))))</f>
        <v/>
      </c>
      <c r="AC232" s="19" t="str">
        <f aca="false">IF(AND(ISNUMBER(Q232),ISNUMBER(R232)),ROUND(R232-Q232,2),"")</f>
        <v/>
      </c>
      <c r="AD232" s="19" t="str">
        <f aca="false">IF(AND(ISNUMBER(AB232),ISNUMBER(Z232)),AB232-Z232,"")</f>
        <v/>
      </c>
      <c r="AE232" s="19"/>
      <c r="AF232" s="19"/>
      <c r="AG232" s="22"/>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4"/>
      <c r="BH232" s="23"/>
      <c r="BI232" s="23"/>
      <c r="BJ232" s="19"/>
      <c r="BK232" s="19"/>
      <c r="BL232" s="19"/>
      <c r="BM232" s="19"/>
      <c r="BN232" s="23"/>
      <c r="BO232" s="23"/>
      <c r="BP232" s="19"/>
      <c r="BQ232" s="19"/>
      <c r="BR232" s="19"/>
      <c r="BS232" s="23"/>
    </row>
    <row r="233" customFormat="false" ht="15" hidden="false" customHeight="false" outlineLevel="0" collapsed="false">
      <c r="A233" s="19"/>
      <c r="B233" s="19"/>
      <c r="C233" s="19"/>
      <c r="D233" s="19"/>
      <c r="E233" s="19"/>
      <c r="F233" s="19"/>
      <c r="G233" s="19"/>
      <c r="H233" s="20"/>
      <c r="I233" s="19"/>
      <c r="J233" s="19"/>
      <c r="K233" s="19"/>
      <c r="L233" s="21"/>
      <c r="M233" s="21"/>
      <c r="N233" s="21"/>
      <c r="O233" s="21"/>
      <c r="P233" s="21"/>
      <c r="Q233" s="21"/>
      <c r="R233" s="21"/>
      <c r="S233" s="19"/>
      <c r="T233" s="19"/>
      <c r="U233" s="19"/>
      <c r="V233" s="19"/>
      <c r="W233" s="19"/>
      <c r="X233" s="19"/>
      <c r="Y233" s="19"/>
      <c r="Z233" s="19"/>
      <c r="AA233" s="19"/>
      <c r="AB233" s="19" t="str">
        <f aca="false">IF(NOT(ISNUMBER(Q233)),"",IF(E233="organizer_case",IF(ISNUMBER(P233),ROUND((Q233-P233)*86400,0),""),IF(J233="ADVANCE",IF(ISNUMBER(O233),ROUND((Q233-MAX(O233,N233))*86400,0),""),IF(ISNUMBER(O233),ROUND((Q233-O233)*86400,0),""))))</f>
        <v/>
      </c>
      <c r="AC233" s="19" t="str">
        <f aca="false">IF(AND(ISNUMBER(Q233),ISNUMBER(R233)),ROUND(R233-Q233,2),"")</f>
        <v/>
      </c>
      <c r="AD233" s="19" t="str">
        <f aca="false">IF(AND(ISNUMBER(AB233),ISNUMBER(Z233)),AB233-Z233,"")</f>
        <v/>
      </c>
      <c r="AE233" s="19"/>
      <c r="AF233" s="19"/>
      <c r="AG233" s="22"/>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4"/>
      <c r="BH233" s="23"/>
      <c r="BI233" s="23"/>
      <c r="BJ233" s="19"/>
      <c r="BK233" s="19"/>
      <c r="BL233" s="19"/>
      <c r="BM233" s="19"/>
      <c r="BN233" s="23"/>
      <c r="BO233" s="23"/>
      <c r="BP233" s="19"/>
      <c r="BQ233" s="19"/>
      <c r="BR233" s="19"/>
      <c r="BS233" s="23"/>
    </row>
    <row r="234" customFormat="false" ht="15" hidden="false" customHeight="false" outlineLevel="0" collapsed="false">
      <c r="A234" s="19"/>
      <c r="B234" s="19"/>
      <c r="C234" s="19"/>
      <c r="D234" s="19"/>
      <c r="E234" s="19"/>
      <c r="F234" s="19"/>
      <c r="G234" s="19"/>
      <c r="H234" s="20"/>
      <c r="I234" s="19"/>
      <c r="J234" s="19"/>
      <c r="K234" s="19"/>
      <c r="L234" s="21"/>
      <c r="M234" s="21"/>
      <c r="N234" s="21"/>
      <c r="O234" s="21"/>
      <c r="P234" s="21"/>
      <c r="Q234" s="21"/>
      <c r="R234" s="21"/>
      <c r="S234" s="19"/>
      <c r="T234" s="19"/>
      <c r="U234" s="19"/>
      <c r="V234" s="19"/>
      <c r="W234" s="19"/>
      <c r="X234" s="19"/>
      <c r="Y234" s="19"/>
      <c r="Z234" s="19"/>
      <c r="AA234" s="19"/>
      <c r="AB234" s="19" t="str">
        <f aca="false">IF(NOT(ISNUMBER(Q234)),"",IF(E234="organizer_case",IF(ISNUMBER(P234),ROUND((Q234-P234)*86400,0),""),IF(J234="ADVANCE",IF(ISNUMBER(O234),ROUND((Q234-MAX(O234,N234))*86400,0),""),IF(ISNUMBER(O234),ROUND((Q234-O234)*86400,0),""))))</f>
        <v/>
      </c>
      <c r="AC234" s="19" t="str">
        <f aca="false">IF(AND(ISNUMBER(Q234),ISNUMBER(R234)),ROUND(R234-Q234,2),"")</f>
        <v/>
      </c>
      <c r="AD234" s="19" t="str">
        <f aca="false">IF(AND(ISNUMBER(AB234),ISNUMBER(Z234)),AB234-Z234,"")</f>
        <v/>
      </c>
      <c r="AE234" s="19"/>
      <c r="AF234" s="19"/>
      <c r="AG234" s="22"/>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4"/>
      <c r="BH234" s="23"/>
      <c r="BI234" s="23"/>
      <c r="BJ234" s="19"/>
      <c r="BK234" s="19"/>
      <c r="BL234" s="19"/>
      <c r="BM234" s="19"/>
      <c r="BN234" s="23"/>
      <c r="BO234" s="23"/>
      <c r="BP234" s="19"/>
      <c r="BQ234" s="19"/>
      <c r="BR234" s="19"/>
      <c r="BS234" s="23"/>
    </row>
    <row r="235" customFormat="false" ht="15" hidden="false" customHeight="false" outlineLevel="0" collapsed="false">
      <c r="A235" s="19"/>
      <c r="B235" s="19"/>
      <c r="C235" s="19"/>
      <c r="D235" s="19"/>
      <c r="E235" s="19"/>
      <c r="F235" s="19"/>
      <c r="G235" s="19"/>
      <c r="H235" s="20"/>
      <c r="I235" s="19"/>
      <c r="J235" s="19"/>
      <c r="K235" s="19"/>
      <c r="L235" s="21"/>
      <c r="M235" s="21"/>
      <c r="N235" s="21"/>
      <c r="O235" s="21"/>
      <c r="P235" s="21"/>
      <c r="Q235" s="21"/>
      <c r="R235" s="21"/>
      <c r="S235" s="19"/>
      <c r="T235" s="19"/>
      <c r="U235" s="19"/>
      <c r="V235" s="19"/>
      <c r="W235" s="19"/>
      <c r="X235" s="19"/>
      <c r="Y235" s="19"/>
      <c r="Z235" s="19"/>
      <c r="AA235" s="19"/>
      <c r="AB235" s="19" t="str">
        <f aca="false">IF(NOT(ISNUMBER(Q235)),"",IF(E235="organizer_case",IF(ISNUMBER(P235),ROUND((Q235-P235)*86400,0),""),IF(J235="ADVANCE",IF(ISNUMBER(O235),ROUND((Q235-MAX(O235,N235))*86400,0),""),IF(ISNUMBER(O235),ROUND((Q235-O235)*86400,0),""))))</f>
        <v/>
      </c>
      <c r="AC235" s="19" t="str">
        <f aca="false">IF(AND(ISNUMBER(Q235),ISNUMBER(R235)),ROUND(R235-Q235,2),"")</f>
        <v/>
      </c>
      <c r="AD235" s="19" t="str">
        <f aca="false">IF(AND(ISNUMBER(AB235),ISNUMBER(Z235)),AB235-Z235,"")</f>
        <v/>
      </c>
      <c r="AE235" s="19"/>
      <c r="AF235" s="19"/>
      <c r="AG235" s="22"/>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4"/>
      <c r="BH235" s="23"/>
      <c r="BI235" s="23"/>
      <c r="BJ235" s="19"/>
      <c r="BK235" s="19"/>
      <c r="BL235" s="19"/>
      <c r="BM235" s="19"/>
      <c r="BN235" s="23"/>
      <c r="BO235" s="23"/>
      <c r="BP235" s="19"/>
      <c r="BQ235" s="19"/>
      <c r="BR235" s="19"/>
      <c r="BS235" s="23"/>
    </row>
    <row r="236" customFormat="false" ht="15" hidden="false" customHeight="false" outlineLevel="0" collapsed="false">
      <c r="A236" s="19"/>
      <c r="B236" s="19"/>
      <c r="C236" s="19"/>
      <c r="D236" s="19"/>
      <c r="E236" s="19"/>
      <c r="F236" s="19"/>
      <c r="G236" s="19"/>
      <c r="H236" s="20"/>
      <c r="I236" s="19"/>
      <c r="J236" s="19"/>
      <c r="K236" s="19"/>
      <c r="L236" s="21"/>
      <c r="M236" s="21"/>
      <c r="N236" s="21"/>
      <c r="O236" s="21"/>
      <c r="P236" s="21"/>
      <c r="Q236" s="21"/>
      <c r="R236" s="21"/>
      <c r="S236" s="19"/>
      <c r="T236" s="19"/>
      <c r="U236" s="19"/>
      <c r="V236" s="19"/>
      <c r="W236" s="19"/>
      <c r="X236" s="19"/>
      <c r="Y236" s="19"/>
      <c r="Z236" s="19"/>
      <c r="AA236" s="19"/>
      <c r="AB236" s="19" t="str">
        <f aca="false">IF(NOT(ISNUMBER(Q236)),"",IF(E236="organizer_case",IF(ISNUMBER(P236),ROUND((Q236-P236)*86400,0),""),IF(J236="ADVANCE",IF(ISNUMBER(O236),ROUND((Q236-MAX(O236,N236))*86400,0),""),IF(ISNUMBER(O236),ROUND((Q236-O236)*86400,0),""))))</f>
        <v/>
      </c>
      <c r="AC236" s="19" t="str">
        <f aca="false">IF(AND(ISNUMBER(Q236),ISNUMBER(R236)),ROUND(R236-Q236,2),"")</f>
        <v/>
      </c>
      <c r="AD236" s="19" t="str">
        <f aca="false">IF(AND(ISNUMBER(AB236),ISNUMBER(Z236)),AB236-Z236,"")</f>
        <v/>
      </c>
      <c r="AE236" s="19"/>
      <c r="AF236" s="19"/>
      <c r="AG236" s="22"/>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4"/>
      <c r="BH236" s="23"/>
      <c r="BI236" s="23"/>
      <c r="BJ236" s="19"/>
      <c r="BK236" s="19"/>
      <c r="BL236" s="19"/>
      <c r="BM236" s="19"/>
      <c r="BN236" s="23"/>
      <c r="BO236" s="23"/>
      <c r="BP236" s="19"/>
      <c r="BQ236" s="19"/>
      <c r="BR236" s="19"/>
      <c r="BS236" s="23"/>
    </row>
    <row r="237" customFormat="false" ht="15" hidden="false" customHeight="false" outlineLevel="0" collapsed="false">
      <c r="A237" s="19"/>
      <c r="B237" s="19"/>
      <c r="C237" s="19"/>
      <c r="D237" s="19"/>
      <c r="E237" s="19"/>
      <c r="F237" s="19"/>
      <c r="G237" s="19"/>
      <c r="H237" s="20"/>
      <c r="I237" s="19"/>
      <c r="J237" s="19"/>
      <c r="K237" s="19"/>
      <c r="L237" s="21"/>
      <c r="M237" s="21"/>
      <c r="N237" s="21"/>
      <c r="O237" s="21"/>
      <c r="P237" s="21"/>
      <c r="Q237" s="21"/>
      <c r="R237" s="21"/>
      <c r="S237" s="19"/>
      <c r="T237" s="19"/>
      <c r="U237" s="19"/>
      <c r="V237" s="19"/>
      <c r="W237" s="19"/>
      <c r="X237" s="19"/>
      <c r="Y237" s="19"/>
      <c r="Z237" s="19"/>
      <c r="AA237" s="19"/>
      <c r="AB237" s="19" t="str">
        <f aca="false">IF(NOT(ISNUMBER(Q237)),"",IF(E237="organizer_case",IF(ISNUMBER(P237),ROUND((Q237-P237)*86400,0),""),IF(J237="ADVANCE",IF(ISNUMBER(O237),ROUND((Q237-MAX(O237,N237))*86400,0),""),IF(ISNUMBER(O237),ROUND((Q237-O237)*86400,0),""))))</f>
        <v/>
      </c>
      <c r="AC237" s="19" t="str">
        <f aca="false">IF(AND(ISNUMBER(Q237),ISNUMBER(R237)),ROUND(R237-Q237,2),"")</f>
        <v/>
      </c>
      <c r="AD237" s="19" t="str">
        <f aca="false">IF(AND(ISNUMBER(AB237),ISNUMBER(Z237)),AB237-Z237,"")</f>
        <v/>
      </c>
      <c r="AE237" s="19"/>
      <c r="AF237" s="19"/>
      <c r="AG237" s="22"/>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4"/>
      <c r="BH237" s="23"/>
      <c r="BI237" s="23"/>
      <c r="BJ237" s="19"/>
      <c r="BK237" s="19"/>
      <c r="BL237" s="19"/>
      <c r="BM237" s="19"/>
      <c r="BN237" s="23"/>
      <c r="BO237" s="23"/>
      <c r="BP237" s="19"/>
      <c r="BQ237" s="19"/>
      <c r="BR237" s="19"/>
      <c r="BS237" s="23"/>
    </row>
    <row r="238" customFormat="false" ht="15" hidden="false" customHeight="false" outlineLevel="0" collapsed="false">
      <c r="A238" s="19"/>
      <c r="B238" s="19"/>
      <c r="C238" s="19"/>
      <c r="D238" s="19"/>
      <c r="E238" s="19"/>
      <c r="F238" s="19"/>
      <c r="G238" s="19"/>
      <c r="H238" s="20"/>
      <c r="I238" s="19"/>
      <c r="J238" s="19"/>
      <c r="K238" s="19"/>
      <c r="L238" s="21"/>
      <c r="M238" s="21"/>
      <c r="N238" s="21"/>
      <c r="O238" s="21"/>
      <c r="P238" s="21"/>
      <c r="Q238" s="21"/>
      <c r="R238" s="21"/>
      <c r="S238" s="19"/>
      <c r="T238" s="19"/>
      <c r="U238" s="19"/>
      <c r="V238" s="19"/>
      <c r="W238" s="19"/>
      <c r="X238" s="19"/>
      <c r="Y238" s="19"/>
      <c r="Z238" s="19"/>
      <c r="AA238" s="19"/>
      <c r="AB238" s="19" t="str">
        <f aca="false">IF(NOT(ISNUMBER(Q238)),"",IF(E238="organizer_case",IF(ISNUMBER(P238),ROUND((Q238-P238)*86400,0),""),IF(J238="ADVANCE",IF(ISNUMBER(O238),ROUND((Q238-MAX(O238,N238))*86400,0),""),IF(ISNUMBER(O238),ROUND((Q238-O238)*86400,0),""))))</f>
        <v/>
      </c>
      <c r="AC238" s="19" t="str">
        <f aca="false">IF(AND(ISNUMBER(Q238),ISNUMBER(R238)),ROUND(R238-Q238,2),"")</f>
        <v/>
      </c>
      <c r="AD238" s="19" t="str">
        <f aca="false">IF(AND(ISNUMBER(AB238),ISNUMBER(Z238)),AB238-Z238,"")</f>
        <v/>
      </c>
      <c r="AE238" s="19"/>
      <c r="AF238" s="19"/>
      <c r="AG238" s="22"/>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4"/>
      <c r="BH238" s="23"/>
      <c r="BI238" s="23"/>
      <c r="BJ238" s="19"/>
      <c r="BK238" s="19"/>
      <c r="BL238" s="19"/>
      <c r="BM238" s="19"/>
      <c r="BN238" s="23"/>
      <c r="BO238" s="23"/>
      <c r="BP238" s="19"/>
      <c r="BQ238" s="19"/>
      <c r="BR238" s="19"/>
      <c r="BS238" s="23"/>
    </row>
    <row r="239" customFormat="false" ht="15" hidden="false" customHeight="false" outlineLevel="0" collapsed="false">
      <c r="A239" s="19"/>
      <c r="B239" s="19"/>
      <c r="C239" s="19"/>
      <c r="D239" s="19"/>
      <c r="E239" s="19"/>
      <c r="F239" s="19"/>
      <c r="G239" s="19"/>
      <c r="H239" s="20"/>
      <c r="I239" s="19"/>
      <c r="J239" s="19"/>
      <c r="K239" s="19"/>
      <c r="L239" s="21"/>
      <c r="M239" s="21"/>
      <c r="N239" s="21"/>
      <c r="O239" s="21"/>
      <c r="P239" s="21"/>
      <c r="Q239" s="21"/>
      <c r="R239" s="21"/>
      <c r="S239" s="19"/>
      <c r="T239" s="19"/>
      <c r="U239" s="19"/>
      <c r="V239" s="19"/>
      <c r="W239" s="19"/>
      <c r="X239" s="19"/>
      <c r="Y239" s="19"/>
      <c r="Z239" s="19"/>
      <c r="AA239" s="19"/>
      <c r="AB239" s="19" t="str">
        <f aca="false">IF(NOT(ISNUMBER(Q239)),"",IF(E239="organizer_case",IF(ISNUMBER(P239),ROUND((Q239-P239)*86400,0),""),IF(J239="ADVANCE",IF(ISNUMBER(O239),ROUND((Q239-MAX(O239,N239))*86400,0),""),IF(ISNUMBER(O239),ROUND((Q239-O239)*86400,0),""))))</f>
        <v/>
      </c>
      <c r="AC239" s="19" t="str">
        <f aca="false">IF(AND(ISNUMBER(Q239),ISNUMBER(R239)),ROUND(R239-Q239,2),"")</f>
        <v/>
      </c>
      <c r="AD239" s="19" t="str">
        <f aca="false">IF(AND(ISNUMBER(AB239),ISNUMBER(Z239)),AB239-Z239,"")</f>
        <v/>
      </c>
      <c r="AE239" s="19"/>
      <c r="AF239" s="19"/>
      <c r="AG239" s="22"/>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c r="BD239" s="23"/>
      <c r="BE239" s="23"/>
      <c r="BF239" s="23"/>
      <c r="BG239" s="24"/>
      <c r="BH239" s="23"/>
      <c r="BI239" s="23"/>
      <c r="BJ239" s="19"/>
      <c r="BK239" s="19"/>
      <c r="BL239" s="19"/>
      <c r="BM239" s="19"/>
      <c r="BN239" s="23"/>
      <c r="BO239" s="23"/>
      <c r="BP239" s="19"/>
      <c r="BQ239" s="19"/>
      <c r="BR239" s="19"/>
      <c r="BS239" s="23"/>
    </row>
    <row r="240" customFormat="false" ht="15" hidden="false" customHeight="false" outlineLevel="0" collapsed="false">
      <c r="A240" s="19"/>
      <c r="B240" s="19"/>
      <c r="C240" s="19"/>
      <c r="D240" s="19"/>
      <c r="E240" s="19"/>
      <c r="F240" s="19"/>
      <c r="G240" s="19"/>
      <c r="H240" s="20"/>
      <c r="I240" s="19"/>
      <c r="J240" s="19"/>
      <c r="K240" s="19"/>
      <c r="L240" s="21"/>
      <c r="M240" s="21"/>
      <c r="N240" s="21"/>
      <c r="O240" s="21"/>
      <c r="P240" s="21"/>
      <c r="Q240" s="21"/>
      <c r="R240" s="21"/>
      <c r="S240" s="19"/>
      <c r="T240" s="19"/>
      <c r="U240" s="19"/>
      <c r="V240" s="19"/>
      <c r="W240" s="19"/>
      <c r="X240" s="19"/>
      <c r="Y240" s="19"/>
      <c r="Z240" s="19"/>
      <c r="AA240" s="19"/>
      <c r="AB240" s="19" t="str">
        <f aca="false">IF(NOT(ISNUMBER(Q240)),"",IF(E240="organizer_case",IF(ISNUMBER(P240),ROUND((Q240-P240)*86400,0),""),IF(J240="ADVANCE",IF(ISNUMBER(O240),ROUND((Q240-MAX(O240,N240))*86400,0),""),IF(ISNUMBER(O240),ROUND((Q240-O240)*86400,0),""))))</f>
        <v/>
      </c>
      <c r="AC240" s="19" t="str">
        <f aca="false">IF(AND(ISNUMBER(Q240),ISNUMBER(R240)),ROUND(R240-Q240,2),"")</f>
        <v/>
      </c>
      <c r="AD240" s="19" t="str">
        <f aca="false">IF(AND(ISNUMBER(AB240),ISNUMBER(Z240)),AB240-Z240,"")</f>
        <v/>
      </c>
      <c r="AE240" s="19"/>
      <c r="AF240" s="19"/>
      <c r="AG240" s="22"/>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c r="BD240" s="23"/>
      <c r="BE240" s="23"/>
      <c r="BF240" s="23"/>
      <c r="BG240" s="24"/>
      <c r="BH240" s="23"/>
      <c r="BI240" s="23"/>
      <c r="BJ240" s="19"/>
      <c r="BK240" s="19"/>
      <c r="BL240" s="19"/>
      <c r="BM240" s="19"/>
      <c r="BN240" s="23"/>
      <c r="BO240" s="23"/>
      <c r="BP240" s="19"/>
      <c r="BQ240" s="19"/>
      <c r="BR240" s="19"/>
      <c r="BS240" s="23"/>
    </row>
    <row r="241" customFormat="false" ht="15" hidden="false" customHeight="false" outlineLevel="0" collapsed="false">
      <c r="A241" s="19"/>
      <c r="B241" s="19"/>
      <c r="C241" s="19"/>
      <c r="D241" s="19"/>
      <c r="E241" s="19"/>
      <c r="F241" s="19"/>
      <c r="G241" s="19"/>
      <c r="H241" s="20"/>
      <c r="I241" s="19"/>
      <c r="J241" s="19"/>
      <c r="K241" s="19"/>
      <c r="L241" s="21"/>
      <c r="M241" s="21"/>
      <c r="N241" s="21"/>
      <c r="O241" s="21"/>
      <c r="P241" s="21"/>
      <c r="Q241" s="21"/>
      <c r="R241" s="21"/>
      <c r="S241" s="19"/>
      <c r="T241" s="19"/>
      <c r="U241" s="19"/>
      <c r="V241" s="19"/>
      <c r="W241" s="19"/>
      <c r="X241" s="19"/>
      <c r="Y241" s="19"/>
      <c r="Z241" s="19"/>
      <c r="AA241" s="19"/>
      <c r="AB241" s="19" t="str">
        <f aca="false">IF(NOT(ISNUMBER(Q241)),"",IF(E241="organizer_case",IF(ISNUMBER(P241),ROUND((Q241-P241)*86400,0),""),IF(J241="ADVANCE",IF(ISNUMBER(O241),ROUND((Q241-MAX(O241,N241))*86400,0),""),IF(ISNUMBER(O241),ROUND((Q241-O241)*86400,0),""))))</f>
        <v/>
      </c>
      <c r="AC241" s="19" t="str">
        <f aca="false">IF(AND(ISNUMBER(Q241),ISNUMBER(R241)),ROUND(R241-Q241,2),"")</f>
        <v/>
      </c>
      <c r="AD241" s="19" t="str">
        <f aca="false">IF(AND(ISNUMBER(AB241),ISNUMBER(Z241)),AB241-Z241,"")</f>
        <v/>
      </c>
      <c r="AE241" s="19"/>
      <c r="AF241" s="19"/>
      <c r="AG241" s="22"/>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c r="BD241" s="23"/>
      <c r="BE241" s="23"/>
      <c r="BF241" s="23"/>
      <c r="BG241" s="24"/>
      <c r="BH241" s="23"/>
      <c r="BI241" s="23"/>
      <c r="BJ241" s="19"/>
      <c r="BK241" s="19"/>
      <c r="BL241" s="19"/>
      <c r="BM241" s="19"/>
      <c r="BN241" s="23"/>
      <c r="BO241" s="23"/>
      <c r="BP241" s="19"/>
      <c r="BQ241" s="19"/>
      <c r="BR241" s="19"/>
      <c r="BS241" s="23"/>
    </row>
    <row r="242" customFormat="false" ht="15" hidden="false" customHeight="false" outlineLevel="0" collapsed="false">
      <c r="A242" s="19"/>
      <c r="B242" s="19"/>
      <c r="C242" s="19"/>
      <c r="D242" s="19"/>
      <c r="E242" s="19"/>
      <c r="F242" s="19"/>
      <c r="G242" s="19"/>
      <c r="H242" s="20"/>
      <c r="I242" s="19"/>
      <c r="J242" s="19"/>
      <c r="K242" s="19"/>
      <c r="L242" s="21"/>
      <c r="M242" s="21"/>
      <c r="N242" s="21"/>
      <c r="O242" s="21"/>
      <c r="P242" s="21"/>
      <c r="Q242" s="21"/>
      <c r="R242" s="21"/>
      <c r="S242" s="19"/>
      <c r="T242" s="19"/>
      <c r="U242" s="19"/>
      <c r="V242" s="19"/>
      <c r="W242" s="19"/>
      <c r="X242" s="19"/>
      <c r="Y242" s="19"/>
      <c r="Z242" s="19"/>
      <c r="AA242" s="19"/>
      <c r="AB242" s="19" t="str">
        <f aca="false">IF(NOT(ISNUMBER(Q242)),"",IF(E242="organizer_case",IF(ISNUMBER(P242),ROUND((Q242-P242)*86400,0),""),IF(J242="ADVANCE",IF(ISNUMBER(O242),ROUND((Q242-MAX(O242,N242))*86400,0),""),IF(ISNUMBER(O242),ROUND((Q242-O242)*86400,0),""))))</f>
        <v/>
      </c>
      <c r="AC242" s="19" t="str">
        <f aca="false">IF(AND(ISNUMBER(Q242),ISNUMBER(R242)),ROUND(R242-Q242,2),"")</f>
        <v/>
      </c>
      <c r="AD242" s="19" t="str">
        <f aca="false">IF(AND(ISNUMBER(AB242),ISNUMBER(Z242)),AB242-Z242,"")</f>
        <v/>
      </c>
      <c r="AE242" s="19"/>
      <c r="AF242" s="19"/>
      <c r="AG242" s="22"/>
      <c r="AH242" s="23"/>
      <c r="AI242" s="23"/>
      <c r="AJ242" s="23"/>
      <c r="AK242" s="23"/>
      <c r="AL242" s="23"/>
      <c r="AM242" s="23"/>
      <c r="AN242" s="23"/>
      <c r="AO242" s="23"/>
      <c r="AP242" s="23"/>
      <c r="AQ242" s="23"/>
      <c r="AR242" s="23"/>
      <c r="AS242" s="23"/>
      <c r="AT242" s="23"/>
      <c r="AU242" s="23"/>
      <c r="AV242" s="23"/>
      <c r="AW242" s="23"/>
      <c r="AX242" s="23"/>
      <c r="AY242" s="23"/>
      <c r="AZ242" s="23"/>
      <c r="BA242" s="23"/>
      <c r="BB242" s="23"/>
      <c r="BC242" s="23"/>
      <c r="BD242" s="23"/>
      <c r="BE242" s="23"/>
      <c r="BF242" s="23"/>
      <c r="BG242" s="24"/>
      <c r="BH242" s="23"/>
      <c r="BI242" s="23"/>
      <c r="BJ242" s="19"/>
      <c r="BK242" s="19"/>
      <c r="BL242" s="19"/>
      <c r="BM242" s="19"/>
      <c r="BN242" s="23"/>
      <c r="BO242" s="23"/>
      <c r="BP242" s="19"/>
      <c r="BQ242" s="19"/>
      <c r="BR242" s="19"/>
      <c r="BS242" s="23"/>
    </row>
    <row r="243" customFormat="false" ht="15" hidden="false" customHeight="false" outlineLevel="0" collapsed="false">
      <c r="A243" s="19"/>
      <c r="B243" s="19"/>
      <c r="C243" s="19"/>
      <c r="D243" s="19"/>
      <c r="E243" s="19"/>
      <c r="F243" s="19"/>
      <c r="G243" s="19"/>
      <c r="H243" s="20"/>
      <c r="I243" s="19"/>
      <c r="J243" s="19"/>
      <c r="K243" s="19"/>
      <c r="L243" s="21"/>
      <c r="M243" s="21"/>
      <c r="N243" s="21"/>
      <c r="O243" s="21"/>
      <c r="P243" s="21"/>
      <c r="Q243" s="21"/>
      <c r="R243" s="21"/>
      <c r="S243" s="19"/>
      <c r="T243" s="19"/>
      <c r="U243" s="19"/>
      <c r="V243" s="19"/>
      <c r="W243" s="19"/>
      <c r="X243" s="19"/>
      <c r="Y243" s="19"/>
      <c r="Z243" s="19"/>
      <c r="AA243" s="19"/>
      <c r="AB243" s="19" t="str">
        <f aca="false">IF(NOT(ISNUMBER(Q243)),"",IF(E243="organizer_case",IF(ISNUMBER(P243),ROUND((Q243-P243)*86400,0),""),IF(J243="ADVANCE",IF(ISNUMBER(O243),ROUND((Q243-MAX(O243,N243))*86400,0),""),IF(ISNUMBER(O243),ROUND((Q243-O243)*86400,0),""))))</f>
        <v/>
      </c>
      <c r="AC243" s="19" t="str">
        <f aca="false">IF(AND(ISNUMBER(Q243),ISNUMBER(R243)),ROUND(R243-Q243,2),"")</f>
        <v/>
      </c>
      <c r="AD243" s="19" t="str">
        <f aca="false">IF(AND(ISNUMBER(AB243),ISNUMBER(Z243)),AB243-Z243,"")</f>
        <v/>
      </c>
      <c r="AE243" s="19"/>
      <c r="AF243" s="19"/>
      <c r="AG243" s="22"/>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c r="BD243" s="23"/>
      <c r="BE243" s="23"/>
      <c r="BF243" s="23"/>
      <c r="BG243" s="24"/>
      <c r="BH243" s="23"/>
      <c r="BI243" s="23"/>
      <c r="BJ243" s="19"/>
      <c r="BK243" s="19"/>
      <c r="BL243" s="19"/>
      <c r="BM243" s="19"/>
      <c r="BN243" s="23"/>
      <c r="BO243" s="23"/>
      <c r="BP243" s="19"/>
      <c r="BQ243" s="19"/>
      <c r="BR243" s="19"/>
      <c r="BS243" s="23"/>
    </row>
    <row r="244" customFormat="false" ht="15" hidden="false" customHeight="false" outlineLevel="0" collapsed="false">
      <c r="A244" s="19"/>
      <c r="B244" s="19"/>
      <c r="C244" s="19"/>
      <c r="D244" s="19"/>
      <c r="E244" s="19"/>
      <c r="F244" s="19"/>
      <c r="G244" s="19"/>
      <c r="H244" s="20"/>
      <c r="I244" s="19"/>
      <c r="J244" s="19"/>
      <c r="K244" s="19"/>
      <c r="L244" s="21"/>
      <c r="M244" s="21"/>
      <c r="N244" s="21"/>
      <c r="O244" s="21"/>
      <c r="P244" s="21"/>
      <c r="Q244" s="21"/>
      <c r="R244" s="21"/>
      <c r="S244" s="19"/>
      <c r="T244" s="19"/>
      <c r="U244" s="19"/>
      <c r="V244" s="19"/>
      <c r="W244" s="19"/>
      <c r="X244" s="19"/>
      <c r="Y244" s="19"/>
      <c r="Z244" s="19"/>
      <c r="AA244" s="19"/>
      <c r="AB244" s="19" t="str">
        <f aca="false">IF(NOT(ISNUMBER(Q244)),"",IF(E244="organizer_case",IF(ISNUMBER(P244),ROUND((Q244-P244)*86400,0),""),IF(J244="ADVANCE",IF(ISNUMBER(O244),ROUND((Q244-MAX(O244,N244))*86400,0),""),IF(ISNUMBER(O244),ROUND((Q244-O244)*86400,0),""))))</f>
        <v/>
      </c>
      <c r="AC244" s="19" t="str">
        <f aca="false">IF(AND(ISNUMBER(Q244),ISNUMBER(R244)),ROUND(R244-Q244,2),"")</f>
        <v/>
      </c>
      <c r="AD244" s="19" t="str">
        <f aca="false">IF(AND(ISNUMBER(AB244),ISNUMBER(Z244)),AB244-Z244,"")</f>
        <v/>
      </c>
      <c r="AE244" s="19"/>
      <c r="AF244" s="19"/>
      <c r="AG244" s="22"/>
      <c r="AH244" s="23"/>
      <c r="AI244" s="23"/>
      <c r="AJ244" s="23"/>
      <c r="AK244" s="23"/>
      <c r="AL244" s="23"/>
      <c r="AM244" s="23"/>
      <c r="AN244" s="23"/>
      <c r="AO244" s="23"/>
      <c r="AP244" s="23"/>
      <c r="AQ244" s="23"/>
      <c r="AR244" s="23"/>
      <c r="AS244" s="23"/>
      <c r="AT244" s="23"/>
      <c r="AU244" s="23"/>
      <c r="AV244" s="23"/>
      <c r="AW244" s="23"/>
      <c r="AX244" s="23"/>
      <c r="AY244" s="23"/>
      <c r="AZ244" s="23"/>
      <c r="BA244" s="23"/>
      <c r="BB244" s="23"/>
      <c r="BC244" s="23"/>
      <c r="BD244" s="23"/>
      <c r="BE244" s="23"/>
      <c r="BF244" s="23"/>
      <c r="BG244" s="24"/>
      <c r="BH244" s="23"/>
      <c r="BI244" s="23"/>
      <c r="BJ244" s="19"/>
      <c r="BK244" s="19"/>
      <c r="BL244" s="19"/>
      <c r="BM244" s="19"/>
      <c r="BN244" s="23"/>
      <c r="BO244" s="23"/>
      <c r="BP244" s="19"/>
      <c r="BQ244" s="19"/>
      <c r="BR244" s="19"/>
      <c r="BS244" s="23"/>
    </row>
    <row r="245" customFormat="false" ht="15" hidden="false" customHeight="false" outlineLevel="0" collapsed="false">
      <c r="A245" s="19"/>
      <c r="B245" s="19"/>
      <c r="C245" s="19"/>
      <c r="D245" s="19"/>
      <c r="E245" s="19"/>
      <c r="F245" s="19"/>
      <c r="G245" s="19"/>
      <c r="H245" s="20"/>
      <c r="I245" s="19"/>
      <c r="J245" s="19"/>
      <c r="K245" s="19"/>
      <c r="L245" s="21"/>
      <c r="M245" s="21"/>
      <c r="N245" s="21"/>
      <c r="O245" s="21"/>
      <c r="P245" s="21"/>
      <c r="Q245" s="21"/>
      <c r="R245" s="21"/>
      <c r="S245" s="19"/>
      <c r="T245" s="19"/>
      <c r="U245" s="19"/>
      <c r="V245" s="19"/>
      <c r="W245" s="19"/>
      <c r="X245" s="19"/>
      <c r="Y245" s="19"/>
      <c r="Z245" s="19"/>
      <c r="AA245" s="19"/>
      <c r="AB245" s="19" t="str">
        <f aca="false">IF(NOT(ISNUMBER(Q245)),"",IF(E245="organizer_case",IF(ISNUMBER(P245),ROUND((Q245-P245)*86400,0),""),IF(J245="ADVANCE",IF(ISNUMBER(O245),ROUND((Q245-MAX(O245,N245))*86400,0),""),IF(ISNUMBER(O245),ROUND((Q245-O245)*86400,0),""))))</f>
        <v/>
      </c>
      <c r="AC245" s="19" t="str">
        <f aca="false">IF(AND(ISNUMBER(Q245),ISNUMBER(R245)),ROUND(R245-Q245,2),"")</f>
        <v/>
      </c>
      <c r="AD245" s="19" t="str">
        <f aca="false">IF(AND(ISNUMBER(AB245),ISNUMBER(Z245)),AB245-Z245,"")</f>
        <v/>
      </c>
      <c r="AE245" s="19"/>
      <c r="AF245" s="19"/>
      <c r="AG245" s="22"/>
      <c r="AH245" s="23"/>
      <c r="AI245" s="23"/>
      <c r="AJ245" s="23"/>
      <c r="AK245" s="23"/>
      <c r="AL245" s="23"/>
      <c r="AM245" s="23"/>
      <c r="AN245" s="23"/>
      <c r="AO245" s="23"/>
      <c r="AP245" s="23"/>
      <c r="AQ245" s="23"/>
      <c r="AR245" s="23"/>
      <c r="AS245" s="23"/>
      <c r="AT245" s="23"/>
      <c r="AU245" s="23"/>
      <c r="AV245" s="23"/>
      <c r="AW245" s="23"/>
      <c r="AX245" s="23"/>
      <c r="AY245" s="23"/>
      <c r="AZ245" s="23"/>
      <c r="BA245" s="23"/>
      <c r="BB245" s="23"/>
      <c r="BC245" s="23"/>
      <c r="BD245" s="23"/>
      <c r="BE245" s="23"/>
      <c r="BF245" s="23"/>
      <c r="BG245" s="24"/>
      <c r="BH245" s="23"/>
      <c r="BI245" s="23"/>
      <c r="BJ245" s="19"/>
      <c r="BK245" s="19"/>
      <c r="BL245" s="19"/>
      <c r="BM245" s="19"/>
      <c r="BN245" s="23"/>
      <c r="BO245" s="23"/>
      <c r="BP245" s="19"/>
      <c r="BQ245" s="19"/>
      <c r="BR245" s="19"/>
      <c r="BS245" s="23"/>
    </row>
    <row r="246" customFormat="false" ht="15" hidden="false" customHeight="false" outlineLevel="0" collapsed="false">
      <c r="A246" s="19"/>
      <c r="B246" s="19"/>
      <c r="C246" s="19"/>
      <c r="D246" s="19"/>
      <c r="E246" s="19"/>
      <c r="F246" s="19"/>
      <c r="G246" s="19"/>
      <c r="H246" s="20"/>
      <c r="I246" s="19"/>
      <c r="J246" s="19"/>
      <c r="K246" s="19"/>
      <c r="L246" s="21"/>
      <c r="M246" s="21"/>
      <c r="N246" s="21"/>
      <c r="O246" s="21"/>
      <c r="P246" s="21"/>
      <c r="Q246" s="21"/>
      <c r="R246" s="21"/>
      <c r="S246" s="19"/>
      <c r="T246" s="19"/>
      <c r="U246" s="19"/>
      <c r="V246" s="19"/>
      <c r="W246" s="19"/>
      <c r="X246" s="19"/>
      <c r="Y246" s="19"/>
      <c r="Z246" s="19"/>
      <c r="AA246" s="19"/>
      <c r="AB246" s="19" t="str">
        <f aca="false">IF(NOT(ISNUMBER(Q246)),"",IF(E246="organizer_case",IF(ISNUMBER(P246),ROUND((Q246-P246)*86400,0),""),IF(J246="ADVANCE",IF(ISNUMBER(O246),ROUND((Q246-MAX(O246,N246))*86400,0),""),IF(ISNUMBER(O246),ROUND((Q246-O246)*86400,0),""))))</f>
        <v/>
      </c>
      <c r="AC246" s="19" t="str">
        <f aca="false">IF(AND(ISNUMBER(Q246),ISNUMBER(R246)),ROUND(R246-Q246,2),"")</f>
        <v/>
      </c>
      <c r="AD246" s="19" t="str">
        <f aca="false">IF(AND(ISNUMBER(AB246),ISNUMBER(Z246)),AB246-Z246,"")</f>
        <v/>
      </c>
      <c r="AE246" s="19"/>
      <c r="AF246" s="19"/>
      <c r="AG246" s="22"/>
      <c r="AH246" s="23"/>
      <c r="AI246" s="23"/>
      <c r="AJ246" s="23"/>
      <c r="AK246" s="23"/>
      <c r="AL246" s="23"/>
      <c r="AM246" s="23"/>
      <c r="AN246" s="23"/>
      <c r="AO246" s="23"/>
      <c r="AP246" s="23"/>
      <c r="AQ246" s="23"/>
      <c r="AR246" s="23"/>
      <c r="AS246" s="23"/>
      <c r="AT246" s="23"/>
      <c r="AU246" s="23"/>
      <c r="AV246" s="23"/>
      <c r="AW246" s="23"/>
      <c r="AX246" s="23"/>
      <c r="AY246" s="23"/>
      <c r="AZ246" s="23"/>
      <c r="BA246" s="23"/>
      <c r="BB246" s="23"/>
      <c r="BC246" s="23"/>
      <c r="BD246" s="23"/>
      <c r="BE246" s="23"/>
      <c r="BF246" s="23"/>
      <c r="BG246" s="24"/>
      <c r="BH246" s="23"/>
      <c r="BI246" s="23"/>
      <c r="BJ246" s="19"/>
      <c r="BK246" s="19"/>
      <c r="BL246" s="19"/>
      <c r="BM246" s="19"/>
      <c r="BN246" s="23"/>
      <c r="BO246" s="23"/>
      <c r="BP246" s="19"/>
      <c r="BQ246" s="19"/>
      <c r="BR246" s="19"/>
      <c r="BS246" s="23"/>
    </row>
    <row r="247" customFormat="false" ht="15" hidden="false" customHeight="false" outlineLevel="0" collapsed="false">
      <c r="A247" s="19"/>
      <c r="B247" s="19"/>
      <c r="C247" s="19"/>
      <c r="D247" s="19"/>
      <c r="E247" s="19"/>
      <c r="F247" s="19"/>
      <c r="G247" s="19"/>
      <c r="H247" s="20"/>
      <c r="I247" s="19"/>
      <c r="J247" s="19"/>
      <c r="K247" s="19"/>
      <c r="L247" s="21"/>
      <c r="M247" s="21"/>
      <c r="N247" s="21"/>
      <c r="O247" s="21"/>
      <c r="P247" s="21"/>
      <c r="Q247" s="21"/>
      <c r="R247" s="21"/>
      <c r="S247" s="19"/>
      <c r="T247" s="19"/>
      <c r="U247" s="19"/>
      <c r="V247" s="19"/>
      <c r="W247" s="19"/>
      <c r="X247" s="19"/>
      <c r="Y247" s="19"/>
      <c r="Z247" s="19"/>
      <c r="AA247" s="19"/>
      <c r="AB247" s="19" t="str">
        <f aca="false">IF(NOT(ISNUMBER(Q247)),"",IF(E247="organizer_case",IF(ISNUMBER(P247),ROUND((Q247-P247)*86400,0),""),IF(J247="ADVANCE",IF(ISNUMBER(O247),ROUND((Q247-MAX(O247,N247))*86400,0),""),IF(ISNUMBER(O247),ROUND((Q247-O247)*86400,0),""))))</f>
        <v/>
      </c>
      <c r="AC247" s="19" t="str">
        <f aca="false">IF(AND(ISNUMBER(Q247),ISNUMBER(R247)),ROUND(R247-Q247,2),"")</f>
        <v/>
      </c>
      <c r="AD247" s="19" t="str">
        <f aca="false">IF(AND(ISNUMBER(AB247),ISNUMBER(Z247)),AB247-Z247,"")</f>
        <v/>
      </c>
      <c r="AE247" s="19"/>
      <c r="AF247" s="19"/>
      <c r="AG247" s="22"/>
      <c r="AH247" s="23"/>
      <c r="AI247" s="23"/>
      <c r="AJ247" s="23"/>
      <c r="AK247" s="23"/>
      <c r="AL247" s="23"/>
      <c r="AM247" s="23"/>
      <c r="AN247" s="23"/>
      <c r="AO247" s="23"/>
      <c r="AP247" s="23"/>
      <c r="AQ247" s="23"/>
      <c r="AR247" s="23"/>
      <c r="AS247" s="23"/>
      <c r="AT247" s="23"/>
      <c r="AU247" s="23"/>
      <c r="AV247" s="23"/>
      <c r="AW247" s="23"/>
      <c r="AX247" s="23"/>
      <c r="AY247" s="23"/>
      <c r="AZ247" s="23"/>
      <c r="BA247" s="23"/>
      <c r="BB247" s="23"/>
      <c r="BC247" s="23"/>
      <c r="BD247" s="23"/>
      <c r="BE247" s="23"/>
      <c r="BF247" s="23"/>
      <c r="BG247" s="24"/>
      <c r="BH247" s="23"/>
      <c r="BI247" s="23"/>
      <c r="BJ247" s="19"/>
      <c r="BK247" s="19"/>
      <c r="BL247" s="19"/>
      <c r="BM247" s="19"/>
      <c r="BN247" s="23"/>
      <c r="BO247" s="23"/>
      <c r="BP247" s="19"/>
      <c r="BQ247" s="19"/>
      <c r="BR247" s="19"/>
      <c r="BS247" s="23"/>
    </row>
    <row r="248" customFormat="false" ht="15" hidden="false" customHeight="false" outlineLevel="0" collapsed="false">
      <c r="A248" s="19"/>
      <c r="B248" s="19"/>
      <c r="C248" s="19"/>
      <c r="D248" s="19"/>
      <c r="E248" s="19"/>
      <c r="F248" s="19"/>
      <c r="G248" s="19"/>
      <c r="H248" s="20"/>
      <c r="I248" s="19"/>
      <c r="J248" s="19"/>
      <c r="K248" s="19"/>
      <c r="L248" s="21"/>
      <c r="M248" s="21"/>
      <c r="N248" s="21"/>
      <c r="O248" s="21"/>
      <c r="P248" s="21"/>
      <c r="Q248" s="21"/>
      <c r="R248" s="21"/>
      <c r="S248" s="19"/>
      <c r="T248" s="19"/>
      <c r="U248" s="19"/>
      <c r="V248" s="19"/>
      <c r="W248" s="19"/>
      <c r="X248" s="19"/>
      <c r="Y248" s="19"/>
      <c r="Z248" s="19"/>
      <c r="AA248" s="19"/>
      <c r="AB248" s="19" t="str">
        <f aca="false">IF(NOT(ISNUMBER(Q248)),"",IF(E248="organizer_case",IF(ISNUMBER(P248),ROUND((Q248-P248)*86400,0),""),IF(J248="ADVANCE",IF(ISNUMBER(O248),ROUND((Q248-MAX(O248,N248))*86400,0),""),IF(ISNUMBER(O248),ROUND((Q248-O248)*86400,0),""))))</f>
        <v/>
      </c>
      <c r="AC248" s="19" t="str">
        <f aca="false">IF(AND(ISNUMBER(Q248),ISNUMBER(R248)),ROUND(R248-Q248,2),"")</f>
        <v/>
      </c>
      <c r="AD248" s="19" t="str">
        <f aca="false">IF(AND(ISNUMBER(AB248),ISNUMBER(Z248)),AB248-Z248,"")</f>
        <v/>
      </c>
      <c r="AE248" s="19"/>
      <c r="AF248" s="19"/>
      <c r="AG248" s="22"/>
      <c r="AH248" s="23"/>
      <c r="AI248" s="23"/>
      <c r="AJ248" s="23"/>
      <c r="AK248" s="23"/>
      <c r="AL248" s="23"/>
      <c r="AM248" s="23"/>
      <c r="AN248" s="23"/>
      <c r="AO248" s="23"/>
      <c r="AP248" s="23"/>
      <c r="AQ248" s="23"/>
      <c r="AR248" s="23"/>
      <c r="AS248" s="23"/>
      <c r="AT248" s="23"/>
      <c r="AU248" s="23"/>
      <c r="AV248" s="23"/>
      <c r="AW248" s="23"/>
      <c r="AX248" s="23"/>
      <c r="AY248" s="23"/>
      <c r="AZ248" s="23"/>
      <c r="BA248" s="23"/>
      <c r="BB248" s="23"/>
      <c r="BC248" s="23"/>
      <c r="BD248" s="23"/>
      <c r="BE248" s="23"/>
      <c r="BF248" s="23"/>
      <c r="BG248" s="24"/>
      <c r="BH248" s="23"/>
      <c r="BI248" s="23"/>
      <c r="BJ248" s="19"/>
      <c r="BK248" s="19"/>
      <c r="BL248" s="19"/>
      <c r="BM248" s="19"/>
      <c r="BN248" s="23"/>
      <c r="BO248" s="23"/>
      <c r="BP248" s="19"/>
      <c r="BQ248" s="19"/>
      <c r="BR248" s="19"/>
      <c r="BS248" s="23"/>
    </row>
    <row r="249" customFormat="false" ht="15" hidden="false" customHeight="false" outlineLevel="0" collapsed="false">
      <c r="A249" s="19"/>
      <c r="B249" s="19"/>
      <c r="C249" s="19"/>
      <c r="D249" s="19"/>
      <c r="E249" s="19"/>
      <c r="F249" s="19"/>
      <c r="G249" s="19"/>
      <c r="H249" s="20"/>
      <c r="I249" s="19"/>
      <c r="J249" s="19"/>
      <c r="K249" s="19"/>
      <c r="L249" s="21"/>
      <c r="M249" s="21"/>
      <c r="N249" s="21"/>
      <c r="O249" s="21"/>
      <c r="P249" s="21"/>
      <c r="Q249" s="21"/>
      <c r="R249" s="21"/>
      <c r="S249" s="19"/>
      <c r="T249" s="19"/>
      <c r="U249" s="19"/>
      <c r="V249" s="19"/>
      <c r="W249" s="19"/>
      <c r="X249" s="19"/>
      <c r="Y249" s="19"/>
      <c r="Z249" s="19"/>
      <c r="AA249" s="19"/>
      <c r="AB249" s="19" t="str">
        <f aca="false">IF(NOT(ISNUMBER(Q249)),"",IF(E249="organizer_case",IF(ISNUMBER(P249),ROUND((Q249-P249)*86400,0),""),IF(J249="ADVANCE",IF(ISNUMBER(O249),ROUND((Q249-MAX(O249,N249))*86400,0),""),IF(ISNUMBER(O249),ROUND((Q249-O249)*86400,0),""))))</f>
        <v/>
      </c>
      <c r="AC249" s="19" t="str">
        <f aca="false">IF(AND(ISNUMBER(Q249),ISNUMBER(R249)),ROUND(R249-Q249,2),"")</f>
        <v/>
      </c>
      <c r="AD249" s="19" t="str">
        <f aca="false">IF(AND(ISNUMBER(AB249),ISNUMBER(Z249)),AB249-Z249,"")</f>
        <v/>
      </c>
      <c r="AE249" s="19"/>
      <c r="AF249" s="19"/>
      <c r="AG249" s="22"/>
      <c r="AH249" s="23"/>
      <c r="AI249" s="23"/>
      <c r="AJ249" s="23"/>
      <c r="AK249" s="23"/>
      <c r="AL249" s="23"/>
      <c r="AM249" s="23"/>
      <c r="AN249" s="23"/>
      <c r="AO249" s="23"/>
      <c r="AP249" s="23"/>
      <c r="AQ249" s="23"/>
      <c r="AR249" s="23"/>
      <c r="AS249" s="23"/>
      <c r="AT249" s="23"/>
      <c r="AU249" s="23"/>
      <c r="AV249" s="23"/>
      <c r="AW249" s="23"/>
      <c r="AX249" s="23"/>
      <c r="AY249" s="23"/>
      <c r="AZ249" s="23"/>
      <c r="BA249" s="23"/>
      <c r="BB249" s="23"/>
      <c r="BC249" s="23"/>
      <c r="BD249" s="23"/>
      <c r="BE249" s="23"/>
      <c r="BF249" s="23"/>
      <c r="BG249" s="24"/>
      <c r="BH249" s="23"/>
      <c r="BI249" s="23"/>
      <c r="BJ249" s="19"/>
      <c r="BK249" s="19"/>
      <c r="BL249" s="19"/>
      <c r="BM249" s="19"/>
      <c r="BN249" s="23"/>
      <c r="BO249" s="23"/>
      <c r="BP249" s="19"/>
      <c r="BQ249" s="19"/>
      <c r="BR249" s="19"/>
      <c r="BS249" s="23"/>
    </row>
    <row r="250" customFormat="false" ht="15" hidden="false" customHeight="false" outlineLevel="0" collapsed="false">
      <c r="A250" s="19"/>
      <c r="B250" s="19"/>
      <c r="C250" s="19"/>
      <c r="D250" s="19"/>
      <c r="E250" s="19"/>
      <c r="F250" s="19"/>
      <c r="G250" s="19"/>
      <c r="H250" s="20"/>
      <c r="I250" s="19"/>
      <c r="J250" s="19"/>
      <c r="K250" s="19"/>
      <c r="L250" s="21"/>
      <c r="M250" s="21"/>
      <c r="N250" s="21"/>
      <c r="O250" s="21"/>
      <c r="P250" s="21"/>
      <c r="Q250" s="21"/>
      <c r="R250" s="21"/>
      <c r="S250" s="19"/>
      <c r="T250" s="19"/>
      <c r="U250" s="19"/>
      <c r="V250" s="19"/>
      <c r="W250" s="19"/>
      <c r="X250" s="19"/>
      <c r="Y250" s="19"/>
      <c r="Z250" s="19"/>
      <c r="AA250" s="19"/>
      <c r="AB250" s="19" t="str">
        <f aca="false">IF(NOT(ISNUMBER(Q250)),"",IF(E250="organizer_case",IF(ISNUMBER(P250),ROUND((Q250-P250)*86400,0),""),IF(J250="ADVANCE",IF(ISNUMBER(O250),ROUND((Q250-MAX(O250,N250))*86400,0),""),IF(ISNUMBER(O250),ROUND((Q250-O250)*86400,0),""))))</f>
        <v/>
      </c>
      <c r="AC250" s="19" t="str">
        <f aca="false">IF(AND(ISNUMBER(Q250),ISNUMBER(R250)),ROUND(R250-Q250,2),"")</f>
        <v/>
      </c>
      <c r="AD250" s="19" t="str">
        <f aca="false">IF(AND(ISNUMBER(AB250),ISNUMBER(Z250)),AB250-Z250,"")</f>
        <v/>
      </c>
      <c r="AE250" s="19"/>
      <c r="AF250" s="19"/>
      <c r="AG250" s="22"/>
      <c r="AH250" s="23"/>
      <c r="AI250" s="23"/>
      <c r="AJ250" s="23"/>
      <c r="AK250" s="23"/>
      <c r="AL250" s="23"/>
      <c r="AM250" s="23"/>
      <c r="AN250" s="23"/>
      <c r="AO250" s="23"/>
      <c r="AP250" s="23"/>
      <c r="AQ250" s="23"/>
      <c r="AR250" s="23"/>
      <c r="AS250" s="23"/>
      <c r="AT250" s="23"/>
      <c r="AU250" s="23"/>
      <c r="AV250" s="23"/>
      <c r="AW250" s="23"/>
      <c r="AX250" s="23"/>
      <c r="AY250" s="23"/>
      <c r="AZ250" s="23"/>
      <c r="BA250" s="23"/>
      <c r="BB250" s="23"/>
      <c r="BC250" s="23"/>
      <c r="BD250" s="23"/>
      <c r="BE250" s="23"/>
      <c r="BF250" s="23"/>
      <c r="BG250" s="24"/>
      <c r="BH250" s="23"/>
      <c r="BI250" s="23"/>
      <c r="BJ250" s="19"/>
      <c r="BK250" s="19"/>
      <c r="BL250" s="19"/>
      <c r="BM250" s="19"/>
      <c r="BN250" s="23"/>
      <c r="BO250" s="23"/>
      <c r="BP250" s="19"/>
      <c r="BQ250" s="19"/>
      <c r="BR250" s="19"/>
      <c r="BS250" s="23"/>
    </row>
    <row r="251" customFormat="false" ht="15" hidden="false" customHeight="false" outlineLevel="0" collapsed="false">
      <c r="A251" s="19"/>
      <c r="B251" s="19"/>
      <c r="C251" s="19"/>
      <c r="D251" s="19"/>
      <c r="E251" s="19"/>
      <c r="F251" s="19"/>
      <c r="G251" s="19"/>
      <c r="H251" s="20"/>
      <c r="I251" s="19"/>
      <c r="J251" s="19"/>
      <c r="K251" s="19"/>
      <c r="L251" s="21"/>
      <c r="M251" s="21"/>
      <c r="N251" s="21"/>
      <c r="O251" s="21"/>
      <c r="P251" s="21"/>
      <c r="Q251" s="21"/>
      <c r="R251" s="21"/>
      <c r="S251" s="19"/>
      <c r="T251" s="19"/>
      <c r="U251" s="19"/>
      <c r="V251" s="19"/>
      <c r="W251" s="19"/>
      <c r="X251" s="19"/>
      <c r="Y251" s="19"/>
      <c r="Z251" s="19"/>
      <c r="AA251" s="19"/>
      <c r="AB251" s="19" t="str">
        <f aca="false">IF(NOT(ISNUMBER(Q251)),"",IF(E251="organizer_case",IF(ISNUMBER(P251),ROUND((Q251-P251)*86400,0),""),IF(J251="ADVANCE",IF(ISNUMBER(O251),ROUND((Q251-MAX(O251,N251))*86400,0),""),IF(ISNUMBER(O251),ROUND((Q251-O251)*86400,0),""))))</f>
        <v/>
      </c>
      <c r="AC251" s="19" t="str">
        <f aca="false">IF(AND(ISNUMBER(Q251),ISNUMBER(R251)),ROUND(R251-Q251,2),"")</f>
        <v/>
      </c>
      <c r="AD251" s="19" t="str">
        <f aca="false">IF(AND(ISNUMBER(AB251),ISNUMBER(Z251)),AB251-Z251,"")</f>
        <v/>
      </c>
      <c r="AE251" s="19"/>
      <c r="AF251" s="19"/>
      <c r="AG251" s="22"/>
      <c r="AH251" s="23"/>
      <c r="AI251" s="23"/>
      <c r="AJ251" s="23"/>
      <c r="AK251" s="23"/>
      <c r="AL251" s="23"/>
      <c r="AM251" s="23"/>
      <c r="AN251" s="23"/>
      <c r="AO251" s="23"/>
      <c r="AP251" s="23"/>
      <c r="AQ251" s="23"/>
      <c r="AR251" s="23"/>
      <c r="AS251" s="23"/>
      <c r="AT251" s="23"/>
      <c r="AU251" s="23"/>
      <c r="AV251" s="23"/>
      <c r="AW251" s="23"/>
      <c r="AX251" s="23"/>
      <c r="AY251" s="23"/>
      <c r="AZ251" s="23"/>
      <c r="BA251" s="23"/>
      <c r="BB251" s="23"/>
      <c r="BC251" s="23"/>
      <c r="BD251" s="23"/>
      <c r="BE251" s="23"/>
      <c r="BF251" s="23"/>
      <c r="BG251" s="24"/>
      <c r="BH251" s="23"/>
      <c r="BI251" s="23"/>
      <c r="BJ251" s="19"/>
      <c r="BK251" s="19"/>
      <c r="BL251" s="19"/>
      <c r="BM251" s="19"/>
      <c r="BN251" s="23"/>
      <c r="BO251" s="23"/>
      <c r="BP251" s="19"/>
      <c r="BQ251" s="19"/>
      <c r="BR251" s="19"/>
      <c r="BS251" s="23"/>
    </row>
    <row r="252" customFormat="false" ht="15" hidden="false" customHeight="false" outlineLevel="0" collapsed="false">
      <c r="A252" s="19"/>
      <c r="B252" s="19"/>
      <c r="C252" s="19"/>
      <c r="D252" s="19"/>
      <c r="E252" s="19"/>
      <c r="F252" s="19"/>
      <c r="G252" s="19"/>
      <c r="H252" s="20"/>
      <c r="I252" s="19"/>
      <c r="J252" s="19"/>
      <c r="K252" s="19"/>
      <c r="L252" s="21"/>
      <c r="M252" s="21"/>
      <c r="N252" s="21"/>
      <c r="O252" s="21"/>
      <c r="P252" s="21"/>
      <c r="Q252" s="21"/>
      <c r="R252" s="21"/>
      <c r="S252" s="19"/>
      <c r="T252" s="19"/>
      <c r="U252" s="19"/>
      <c r="V252" s="19"/>
      <c r="W252" s="19"/>
      <c r="X252" s="19"/>
      <c r="Y252" s="19"/>
      <c r="Z252" s="19"/>
      <c r="AA252" s="19"/>
      <c r="AB252" s="19" t="str">
        <f aca="false">IF(NOT(ISNUMBER(Q252)),"",IF(E252="organizer_case",IF(ISNUMBER(P252),ROUND((Q252-P252)*86400,0),""),IF(J252="ADVANCE",IF(ISNUMBER(O252),ROUND((Q252-MAX(O252,N252))*86400,0),""),IF(ISNUMBER(O252),ROUND((Q252-O252)*86400,0),""))))</f>
        <v/>
      </c>
      <c r="AC252" s="19" t="str">
        <f aca="false">IF(AND(ISNUMBER(Q252),ISNUMBER(R252)),ROUND(R252-Q252,2),"")</f>
        <v/>
      </c>
      <c r="AD252" s="19" t="str">
        <f aca="false">IF(AND(ISNUMBER(AB252),ISNUMBER(Z252)),AB252-Z252,"")</f>
        <v/>
      </c>
      <c r="AE252" s="19"/>
      <c r="AF252" s="19"/>
      <c r="AG252" s="22"/>
      <c r="AH252" s="23"/>
      <c r="AI252" s="23"/>
      <c r="AJ252" s="23"/>
      <c r="AK252" s="23"/>
      <c r="AL252" s="23"/>
      <c r="AM252" s="23"/>
      <c r="AN252" s="23"/>
      <c r="AO252" s="23"/>
      <c r="AP252" s="23"/>
      <c r="AQ252" s="23"/>
      <c r="AR252" s="23"/>
      <c r="AS252" s="23"/>
      <c r="AT252" s="23"/>
      <c r="AU252" s="23"/>
      <c r="AV252" s="23"/>
      <c r="AW252" s="23"/>
      <c r="AX252" s="23"/>
      <c r="AY252" s="23"/>
      <c r="AZ252" s="23"/>
      <c r="BA252" s="23"/>
      <c r="BB252" s="23"/>
      <c r="BC252" s="23"/>
      <c r="BD252" s="23"/>
      <c r="BE252" s="23"/>
      <c r="BF252" s="23"/>
      <c r="BG252" s="24"/>
      <c r="BH252" s="23"/>
      <c r="BI252" s="23"/>
      <c r="BJ252" s="19"/>
      <c r="BK252" s="19"/>
      <c r="BL252" s="19"/>
      <c r="BM252" s="19"/>
      <c r="BN252" s="23"/>
      <c r="BO252" s="23"/>
      <c r="BP252" s="19"/>
      <c r="BQ252" s="19"/>
      <c r="BR252" s="19"/>
      <c r="BS252" s="23"/>
    </row>
    <row r="253" customFormat="false" ht="15" hidden="false" customHeight="false" outlineLevel="0" collapsed="false">
      <c r="A253" s="19"/>
      <c r="B253" s="19"/>
      <c r="C253" s="19"/>
      <c r="D253" s="19"/>
      <c r="E253" s="19"/>
      <c r="F253" s="19"/>
      <c r="G253" s="19"/>
      <c r="H253" s="20"/>
      <c r="I253" s="19"/>
      <c r="J253" s="19"/>
      <c r="K253" s="19"/>
      <c r="L253" s="21"/>
      <c r="M253" s="21"/>
      <c r="N253" s="21"/>
      <c r="O253" s="21"/>
      <c r="P253" s="21"/>
      <c r="Q253" s="21"/>
      <c r="R253" s="21"/>
      <c r="S253" s="19"/>
      <c r="T253" s="19"/>
      <c r="U253" s="19"/>
      <c r="V253" s="19"/>
      <c r="W253" s="19"/>
      <c r="X253" s="19"/>
      <c r="Y253" s="19"/>
      <c r="Z253" s="19"/>
      <c r="AA253" s="19"/>
      <c r="AB253" s="19" t="str">
        <f aca="false">IF(NOT(ISNUMBER(Q253)),"",IF(E253="organizer_case",IF(ISNUMBER(P253),ROUND((Q253-P253)*86400,0),""),IF(J253="ADVANCE",IF(ISNUMBER(O253),ROUND((Q253-MAX(O253,N253))*86400,0),""),IF(ISNUMBER(O253),ROUND((Q253-O253)*86400,0),""))))</f>
        <v/>
      </c>
      <c r="AC253" s="19" t="str">
        <f aca="false">IF(AND(ISNUMBER(Q253),ISNUMBER(R253)),ROUND(R253-Q253,2),"")</f>
        <v/>
      </c>
      <c r="AD253" s="19" t="str">
        <f aca="false">IF(AND(ISNUMBER(AB253),ISNUMBER(Z253)),AB253-Z253,"")</f>
        <v/>
      </c>
      <c r="AE253" s="19"/>
      <c r="AF253" s="19"/>
      <c r="AG253" s="22"/>
      <c r="AH253" s="23"/>
      <c r="AI253" s="23"/>
      <c r="AJ253" s="23"/>
      <c r="AK253" s="23"/>
      <c r="AL253" s="23"/>
      <c r="AM253" s="23"/>
      <c r="AN253" s="23"/>
      <c r="AO253" s="23"/>
      <c r="AP253" s="23"/>
      <c r="AQ253" s="23"/>
      <c r="AR253" s="23"/>
      <c r="AS253" s="23"/>
      <c r="AT253" s="23"/>
      <c r="AU253" s="23"/>
      <c r="AV253" s="23"/>
      <c r="AW253" s="23"/>
      <c r="AX253" s="23"/>
      <c r="AY253" s="23"/>
      <c r="AZ253" s="23"/>
      <c r="BA253" s="23"/>
      <c r="BB253" s="23"/>
      <c r="BC253" s="23"/>
      <c r="BD253" s="23"/>
      <c r="BE253" s="23"/>
      <c r="BF253" s="23"/>
      <c r="BG253" s="24"/>
      <c r="BH253" s="23"/>
      <c r="BI253" s="23"/>
      <c r="BJ253" s="19"/>
      <c r="BK253" s="19"/>
      <c r="BL253" s="19"/>
      <c r="BM253" s="19"/>
      <c r="BN253" s="23"/>
      <c r="BO253" s="23"/>
      <c r="BP253" s="19"/>
      <c r="BQ253" s="19"/>
      <c r="BR253" s="19"/>
      <c r="BS253" s="23"/>
    </row>
    <row r="254" customFormat="false" ht="15" hidden="false" customHeight="false" outlineLevel="0" collapsed="false">
      <c r="A254" s="19"/>
      <c r="B254" s="19"/>
      <c r="C254" s="19"/>
      <c r="D254" s="19"/>
      <c r="E254" s="19"/>
      <c r="F254" s="19"/>
      <c r="G254" s="19"/>
      <c r="H254" s="20"/>
      <c r="I254" s="19"/>
      <c r="J254" s="19"/>
      <c r="K254" s="19"/>
      <c r="L254" s="21"/>
      <c r="M254" s="21"/>
      <c r="N254" s="21"/>
      <c r="O254" s="21"/>
      <c r="P254" s="21"/>
      <c r="Q254" s="21"/>
      <c r="R254" s="21"/>
      <c r="S254" s="19"/>
      <c r="T254" s="19"/>
      <c r="U254" s="19"/>
      <c r="V254" s="19"/>
      <c r="W254" s="19"/>
      <c r="X254" s="19"/>
      <c r="Y254" s="19"/>
      <c r="Z254" s="19"/>
      <c r="AA254" s="19"/>
      <c r="AB254" s="19" t="str">
        <f aca="false">IF(NOT(ISNUMBER(Q254)),"",IF(E254="organizer_case",IF(ISNUMBER(P254),ROUND((Q254-P254)*86400,0),""),IF(J254="ADVANCE",IF(ISNUMBER(O254),ROUND((Q254-MAX(O254,N254))*86400,0),""),IF(ISNUMBER(O254),ROUND((Q254-O254)*86400,0),""))))</f>
        <v/>
      </c>
      <c r="AC254" s="19" t="str">
        <f aca="false">IF(AND(ISNUMBER(Q254),ISNUMBER(R254)),ROUND(R254-Q254,2),"")</f>
        <v/>
      </c>
      <c r="AD254" s="19" t="str">
        <f aca="false">IF(AND(ISNUMBER(AB254),ISNUMBER(Z254)),AB254-Z254,"")</f>
        <v/>
      </c>
      <c r="AE254" s="19"/>
      <c r="AF254" s="19"/>
      <c r="AG254" s="22"/>
      <c r="AH254" s="23"/>
      <c r="AI254" s="23"/>
      <c r="AJ254" s="23"/>
      <c r="AK254" s="23"/>
      <c r="AL254" s="23"/>
      <c r="AM254" s="23"/>
      <c r="AN254" s="23"/>
      <c r="AO254" s="23"/>
      <c r="AP254" s="23"/>
      <c r="AQ254" s="23"/>
      <c r="AR254" s="23"/>
      <c r="AS254" s="23"/>
      <c r="AT254" s="23"/>
      <c r="AU254" s="23"/>
      <c r="AV254" s="23"/>
      <c r="AW254" s="23"/>
      <c r="AX254" s="23"/>
      <c r="AY254" s="23"/>
      <c r="AZ254" s="23"/>
      <c r="BA254" s="23"/>
      <c r="BB254" s="23"/>
      <c r="BC254" s="23"/>
      <c r="BD254" s="23"/>
      <c r="BE254" s="23"/>
      <c r="BF254" s="23"/>
      <c r="BG254" s="24"/>
      <c r="BH254" s="23"/>
      <c r="BI254" s="23"/>
      <c r="BJ254" s="19"/>
      <c r="BK254" s="19"/>
      <c r="BL254" s="19"/>
      <c r="BM254" s="19"/>
      <c r="BN254" s="23"/>
      <c r="BO254" s="23"/>
      <c r="BP254" s="19"/>
      <c r="BQ254" s="19"/>
      <c r="BR254" s="19"/>
      <c r="BS254" s="23"/>
    </row>
    <row r="255" customFormat="false" ht="15" hidden="false" customHeight="false" outlineLevel="0" collapsed="false">
      <c r="A255" s="19"/>
      <c r="B255" s="19"/>
      <c r="C255" s="19"/>
      <c r="D255" s="19"/>
      <c r="E255" s="19"/>
      <c r="F255" s="19"/>
      <c r="G255" s="19"/>
      <c r="H255" s="20"/>
      <c r="I255" s="19"/>
      <c r="J255" s="19"/>
      <c r="K255" s="19"/>
      <c r="L255" s="21"/>
      <c r="M255" s="21"/>
      <c r="N255" s="21"/>
      <c r="O255" s="21"/>
      <c r="P255" s="21"/>
      <c r="Q255" s="21"/>
      <c r="R255" s="21"/>
      <c r="S255" s="19"/>
      <c r="T255" s="19"/>
      <c r="U255" s="19"/>
      <c r="V255" s="19"/>
      <c r="W255" s="19"/>
      <c r="X255" s="19"/>
      <c r="Y255" s="19"/>
      <c r="Z255" s="19"/>
      <c r="AA255" s="19"/>
      <c r="AB255" s="19" t="str">
        <f aca="false">IF(NOT(ISNUMBER(Q255)),"",IF(E255="organizer_case",IF(ISNUMBER(P255),ROUND((Q255-P255)*86400,0),""),IF(J255="ADVANCE",IF(ISNUMBER(O255),ROUND((Q255-MAX(O255,N255))*86400,0),""),IF(ISNUMBER(O255),ROUND((Q255-O255)*86400,0),""))))</f>
        <v/>
      </c>
      <c r="AC255" s="19" t="str">
        <f aca="false">IF(AND(ISNUMBER(Q255),ISNUMBER(R255)),ROUND(R255-Q255,2),"")</f>
        <v/>
      </c>
      <c r="AD255" s="19" t="str">
        <f aca="false">IF(AND(ISNUMBER(AB255),ISNUMBER(Z255)),AB255-Z255,"")</f>
        <v/>
      </c>
      <c r="AE255" s="19"/>
      <c r="AF255" s="19"/>
      <c r="AG255" s="22"/>
      <c r="AH255" s="23"/>
      <c r="AI255" s="23"/>
      <c r="AJ255" s="23"/>
      <c r="AK255" s="23"/>
      <c r="AL255" s="23"/>
      <c r="AM255" s="23"/>
      <c r="AN255" s="23"/>
      <c r="AO255" s="23"/>
      <c r="AP255" s="23"/>
      <c r="AQ255" s="23"/>
      <c r="AR255" s="23"/>
      <c r="AS255" s="23"/>
      <c r="AT255" s="23"/>
      <c r="AU255" s="23"/>
      <c r="AV255" s="23"/>
      <c r="AW255" s="23"/>
      <c r="AX255" s="23"/>
      <c r="AY255" s="23"/>
      <c r="AZ255" s="23"/>
      <c r="BA255" s="23"/>
      <c r="BB255" s="23"/>
      <c r="BC255" s="23"/>
      <c r="BD255" s="23"/>
      <c r="BE255" s="23"/>
      <c r="BF255" s="23"/>
      <c r="BG255" s="24"/>
      <c r="BH255" s="23"/>
      <c r="BI255" s="23"/>
      <c r="BJ255" s="19"/>
      <c r="BK255" s="19"/>
      <c r="BL255" s="19"/>
      <c r="BM255" s="19"/>
      <c r="BN255" s="23"/>
      <c r="BO255" s="23"/>
      <c r="BP255" s="19"/>
      <c r="BQ255" s="19"/>
      <c r="BR255" s="19"/>
      <c r="BS255" s="23"/>
    </row>
    <row r="256" customFormat="false" ht="15" hidden="false" customHeight="false" outlineLevel="0" collapsed="false">
      <c r="A256" s="19"/>
      <c r="B256" s="19"/>
      <c r="C256" s="19"/>
      <c r="D256" s="19"/>
      <c r="E256" s="19"/>
      <c r="F256" s="19"/>
      <c r="G256" s="19"/>
      <c r="H256" s="20"/>
      <c r="I256" s="19"/>
      <c r="J256" s="19"/>
      <c r="K256" s="19"/>
      <c r="L256" s="21"/>
      <c r="M256" s="21"/>
      <c r="N256" s="21"/>
      <c r="O256" s="21"/>
      <c r="P256" s="21"/>
      <c r="Q256" s="21"/>
      <c r="R256" s="21"/>
      <c r="S256" s="19"/>
      <c r="T256" s="19"/>
      <c r="U256" s="19"/>
      <c r="V256" s="19"/>
      <c r="W256" s="19"/>
      <c r="X256" s="19"/>
      <c r="Y256" s="19"/>
      <c r="Z256" s="19"/>
      <c r="AA256" s="19"/>
      <c r="AB256" s="19" t="str">
        <f aca="false">IF(NOT(ISNUMBER(Q256)),"",IF(E256="organizer_case",IF(ISNUMBER(P256),ROUND((Q256-P256)*86400,0),""),IF(J256="ADVANCE",IF(ISNUMBER(O256),ROUND((Q256-MAX(O256,N256))*86400,0),""),IF(ISNUMBER(O256),ROUND((Q256-O256)*86400,0),""))))</f>
        <v/>
      </c>
      <c r="AC256" s="19" t="str">
        <f aca="false">IF(AND(ISNUMBER(Q256),ISNUMBER(R256)),ROUND(R256-Q256,2),"")</f>
        <v/>
      </c>
      <c r="AD256" s="19" t="str">
        <f aca="false">IF(AND(ISNUMBER(AB256),ISNUMBER(Z256)),AB256-Z256,"")</f>
        <v/>
      </c>
      <c r="AE256" s="19"/>
      <c r="AF256" s="19"/>
      <c r="AG256" s="22"/>
      <c r="AH256" s="23"/>
      <c r="AI256" s="23"/>
      <c r="AJ256" s="23"/>
      <c r="AK256" s="23"/>
      <c r="AL256" s="23"/>
      <c r="AM256" s="23"/>
      <c r="AN256" s="23"/>
      <c r="AO256" s="23"/>
      <c r="AP256" s="23"/>
      <c r="AQ256" s="23"/>
      <c r="AR256" s="23"/>
      <c r="AS256" s="23"/>
      <c r="AT256" s="23"/>
      <c r="AU256" s="23"/>
      <c r="AV256" s="23"/>
      <c r="AW256" s="23"/>
      <c r="AX256" s="23"/>
      <c r="AY256" s="23"/>
      <c r="AZ256" s="23"/>
      <c r="BA256" s="23"/>
      <c r="BB256" s="23"/>
      <c r="BC256" s="23"/>
      <c r="BD256" s="23"/>
      <c r="BE256" s="23"/>
      <c r="BF256" s="23"/>
      <c r="BG256" s="24"/>
      <c r="BH256" s="23"/>
      <c r="BI256" s="23"/>
      <c r="BJ256" s="19"/>
      <c r="BK256" s="19"/>
      <c r="BL256" s="19"/>
      <c r="BM256" s="19"/>
      <c r="BN256" s="23"/>
      <c r="BO256" s="23"/>
      <c r="BP256" s="19"/>
      <c r="BQ256" s="19"/>
      <c r="BR256" s="19"/>
      <c r="BS256" s="23"/>
    </row>
    <row r="257" customFormat="false" ht="15" hidden="false" customHeight="false" outlineLevel="0" collapsed="false">
      <c r="A257" s="19"/>
      <c r="B257" s="19"/>
      <c r="C257" s="19"/>
      <c r="D257" s="19"/>
      <c r="E257" s="19"/>
      <c r="F257" s="19"/>
      <c r="G257" s="19"/>
      <c r="H257" s="20"/>
      <c r="I257" s="19"/>
      <c r="J257" s="19"/>
      <c r="K257" s="19"/>
      <c r="L257" s="21"/>
      <c r="M257" s="21"/>
      <c r="N257" s="21"/>
      <c r="O257" s="21"/>
      <c r="P257" s="21"/>
      <c r="Q257" s="21"/>
      <c r="R257" s="21"/>
      <c r="S257" s="19"/>
      <c r="T257" s="19"/>
      <c r="U257" s="19"/>
      <c r="V257" s="19"/>
      <c r="W257" s="19"/>
      <c r="X257" s="19"/>
      <c r="Y257" s="19"/>
      <c r="Z257" s="19"/>
      <c r="AA257" s="19"/>
      <c r="AB257" s="19" t="str">
        <f aca="false">IF(NOT(ISNUMBER(Q257)),"",IF(E257="organizer_case",IF(ISNUMBER(P257),ROUND((Q257-P257)*86400,0),""),IF(J257="ADVANCE",IF(ISNUMBER(O257),ROUND((Q257-MAX(O257,N257))*86400,0),""),IF(ISNUMBER(O257),ROUND((Q257-O257)*86400,0),""))))</f>
        <v/>
      </c>
      <c r="AC257" s="19" t="str">
        <f aca="false">IF(AND(ISNUMBER(Q257),ISNUMBER(R257)),ROUND(R257-Q257,2),"")</f>
        <v/>
      </c>
      <c r="AD257" s="19" t="str">
        <f aca="false">IF(AND(ISNUMBER(AB257),ISNUMBER(Z257)),AB257-Z257,"")</f>
        <v/>
      </c>
      <c r="AE257" s="19"/>
      <c r="AF257" s="19"/>
      <c r="AG257" s="22"/>
      <c r="AH257" s="23"/>
      <c r="AI257" s="23"/>
      <c r="AJ257" s="23"/>
      <c r="AK257" s="23"/>
      <c r="AL257" s="23"/>
      <c r="AM257" s="23"/>
      <c r="AN257" s="23"/>
      <c r="AO257" s="23"/>
      <c r="AP257" s="23"/>
      <c r="AQ257" s="23"/>
      <c r="AR257" s="23"/>
      <c r="AS257" s="23"/>
      <c r="AT257" s="23"/>
      <c r="AU257" s="23"/>
      <c r="AV257" s="23"/>
      <c r="AW257" s="23"/>
      <c r="AX257" s="23"/>
      <c r="AY257" s="23"/>
      <c r="AZ257" s="23"/>
      <c r="BA257" s="23"/>
      <c r="BB257" s="23"/>
      <c r="BC257" s="23"/>
      <c r="BD257" s="23"/>
      <c r="BE257" s="23"/>
      <c r="BF257" s="23"/>
      <c r="BG257" s="24"/>
      <c r="BH257" s="23"/>
      <c r="BI257" s="23"/>
      <c r="BJ257" s="19"/>
      <c r="BK257" s="19"/>
      <c r="BL257" s="19"/>
      <c r="BM257" s="19"/>
      <c r="BN257" s="23"/>
      <c r="BO257" s="23"/>
      <c r="BP257" s="19"/>
      <c r="BQ257" s="19"/>
      <c r="BR257" s="19"/>
      <c r="BS257" s="23"/>
    </row>
    <row r="258" customFormat="false" ht="15" hidden="false" customHeight="false" outlineLevel="0" collapsed="false">
      <c r="A258" s="19"/>
      <c r="B258" s="19"/>
      <c r="C258" s="19"/>
      <c r="D258" s="19"/>
      <c r="E258" s="19"/>
      <c r="F258" s="19"/>
      <c r="G258" s="19"/>
      <c r="H258" s="20"/>
      <c r="I258" s="19"/>
      <c r="J258" s="19"/>
      <c r="K258" s="19"/>
      <c r="L258" s="21"/>
      <c r="M258" s="21"/>
      <c r="N258" s="21"/>
      <c r="O258" s="21"/>
      <c r="P258" s="21"/>
      <c r="Q258" s="21"/>
      <c r="R258" s="21"/>
      <c r="S258" s="19"/>
      <c r="T258" s="19"/>
      <c r="U258" s="19"/>
      <c r="V258" s="19"/>
      <c r="W258" s="19"/>
      <c r="X258" s="19"/>
      <c r="Y258" s="19"/>
      <c r="Z258" s="19"/>
      <c r="AA258" s="19"/>
      <c r="AB258" s="19" t="str">
        <f aca="false">IF(NOT(ISNUMBER(Q258)),"",IF(E258="organizer_case",IF(ISNUMBER(P258),ROUND((Q258-P258)*86400,0),""),IF(J258="ADVANCE",IF(ISNUMBER(O258),ROUND((Q258-MAX(O258,N258))*86400,0),""),IF(ISNUMBER(O258),ROUND((Q258-O258)*86400,0),""))))</f>
        <v/>
      </c>
      <c r="AC258" s="19" t="str">
        <f aca="false">IF(AND(ISNUMBER(Q258),ISNUMBER(R258)),ROUND(R258-Q258,2),"")</f>
        <v/>
      </c>
      <c r="AD258" s="19" t="str">
        <f aca="false">IF(AND(ISNUMBER(AB258),ISNUMBER(Z258)),AB258-Z258,"")</f>
        <v/>
      </c>
      <c r="AE258" s="19"/>
      <c r="AF258" s="19"/>
      <c r="AG258" s="22"/>
      <c r="AH258" s="23"/>
      <c r="AI258" s="23"/>
      <c r="AJ258" s="23"/>
      <c r="AK258" s="23"/>
      <c r="AL258" s="23"/>
      <c r="AM258" s="23"/>
      <c r="AN258" s="23"/>
      <c r="AO258" s="23"/>
      <c r="AP258" s="23"/>
      <c r="AQ258" s="23"/>
      <c r="AR258" s="23"/>
      <c r="AS258" s="23"/>
      <c r="AT258" s="23"/>
      <c r="AU258" s="23"/>
      <c r="AV258" s="23"/>
      <c r="AW258" s="23"/>
      <c r="AX258" s="23"/>
      <c r="AY258" s="23"/>
      <c r="AZ258" s="23"/>
      <c r="BA258" s="23"/>
      <c r="BB258" s="23"/>
      <c r="BC258" s="23"/>
      <c r="BD258" s="23"/>
      <c r="BE258" s="23"/>
      <c r="BF258" s="23"/>
      <c r="BG258" s="24"/>
      <c r="BH258" s="23"/>
      <c r="BI258" s="23"/>
      <c r="BJ258" s="19"/>
      <c r="BK258" s="19"/>
      <c r="BL258" s="19"/>
      <c r="BM258" s="19"/>
      <c r="BN258" s="23"/>
      <c r="BO258" s="23"/>
      <c r="BP258" s="19"/>
      <c r="BQ258" s="19"/>
      <c r="BR258" s="19"/>
      <c r="BS258" s="23"/>
    </row>
    <row r="259" customFormat="false" ht="15" hidden="false" customHeight="false" outlineLevel="0" collapsed="false">
      <c r="A259" s="19"/>
      <c r="B259" s="19"/>
      <c r="C259" s="19"/>
      <c r="D259" s="19"/>
      <c r="E259" s="19"/>
      <c r="F259" s="19"/>
      <c r="G259" s="19"/>
      <c r="H259" s="20"/>
      <c r="I259" s="19"/>
      <c r="J259" s="19"/>
      <c r="K259" s="19"/>
      <c r="L259" s="21"/>
      <c r="M259" s="21"/>
      <c r="N259" s="21"/>
      <c r="O259" s="21"/>
      <c r="P259" s="21"/>
      <c r="Q259" s="21"/>
      <c r="R259" s="21"/>
      <c r="S259" s="19"/>
      <c r="T259" s="19"/>
      <c r="U259" s="19"/>
      <c r="V259" s="19"/>
      <c r="W259" s="19"/>
      <c r="X259" s="19"/>
      <c r="Y259" s="19"/>
      <c r="Z259" s="19"/>
      <c r="AA259" s="19"/>
      <c r="AB259" s="19" t="str">
        <f aca="false">IF(NOT(ISNUMBER(Q259)),"",IF(E259="organizer_case",IF(ISNUMBER(P259),ROUND((Q259-P259)*86400,0),""),IF(J259="ADVANCE",IF(ISNUMBER(O259),ROUND((Q259-MAX(O259,N259))*86400,0),""),IF(ISNUMBER(O259),ROUND((Q259-O259)*86400,0),""))))</f>
        <v/>
      </c>
      <c r="AC259" s="19" t="str">
        <f aca="false">IF(AND(ISNUMBER(Q259),ISNUMBER(R259)),ROUND(R259-Q259,2),"")</f>
        <v/>
      </c>
      <c r="AD259" s="19" t="str">
        <f aca="false">IF(AND(ISNUMBER(AB259),ISNUMBER(Z259)),AB259-Z259,"")</f>
        <v/>
      </c>
      <c r="AE259" s="19"/>
      <c r="AF259" s="19"/>
      <c r="AG259" s="22"/>
      <c r="AH259" s="23"/>
      <c r="AI259" s="23"/>
      <c r="AJ259" s="23"/>
      <c r="AK259" s="23"/>
      <c r="AL259" s="23"/>
      <c r="AM259" s="23"/>
      <c r="AN259" s="23"/>
      <c r="AO259" s="23"/>
      <c r="AP259" s="23"/>
      <c r="AQ259" s="23"/>
      <c r="AR259" s="23"/>
      <c r="AS259" s="23"/>
      <c r="AT259" s="23"/>
      <c r="AU259" s="23"/>
      <c r="AV259" s="23"/>
      <c r="AW259" s="23"/>
      <c r="AX259" s="23"/>
      <c r="AY259" s="23"/>
      <c r="AZ259" s="23"/>
      <c r="BA259" s="23"/>
      <c r="BB259" s="23"/>
      <c r="BC259" s="23"/>
      <c r="BD259" s="23"/>
      <c r="BE259" s="23"/>
      <c r="BF259" s="23"/>
      <c r="BG259" s="24"/>
      <c r="BH259" s="23"/>
      <c r="BI259" s="23"/>
      <c r="BJ259" s="19"/>
      <c r="BK259" s="19"/>
      <c r="BL259" s="19"/>
      <c r="BM259" s="19"/>
      <c r="BN259" s="23"/>
      <c r="BO259" s="23"/>
      <c r="BP259" s="19"/>
      <c r="BQ259" s="19"/>
      <c r="BR259" s="19"/>
      <c r="BS259" s="23"/>
    </row>
    <row r="260" customFormat="false" ht="15" hidden="false" customHeight="false" outlineLevel="0" collapsed="false">
      <c r="A260" s="19"/>
      <c r="B260" s="19"/>
      <c r="C260" s="19"/>
      <c r="D260" s="19"/>
      <c r="E260" s="19"/>
      <c r="F260" s="19"/>
      <c r="G260" s="19"/>
      <c r="H260" s="20"/>
      <c r="I260" s="19"/>
      <c r="J260" s="19"/>
      <c r="K260" s="19"/>
      <c r="L260" s="21"/>
      <c r="M260" s="21"/>
      <c r="N260" s="21"/>
      <c r="O260" s="21"/>
      <c r="P260" s="21"/>
      <c r="Q260" s="21"/>
      <c r="R260" s="21"/>
      <c r="S260" s="19"/>
      <c r="T260" s="19"/>
      <c r="U260" s="19"/>
      <c r="V260" s="19"/>
      <c r="W260" s="19"/>
      <c r="X260" s="19"/>
      <c r="Y260" s="19"/>
      <c r="Z260" s="19"/>
      <c r="AA260" s="19"/>
      <c r="AB260" s="19" t="str">
        <f aca="false">IF(NOT(ISNUMBER(Q260)),"",IF(E260="organizer_case",IF(ISNUMBER(P260),ROUND((Q260-P260)*86400,0),""),IF(J260="ADVANCE",IF(ISNUMBER(O260),ROUND((Q260-MAX(O260,N260))*86400,0),""),IF(ISNUMBER(O260),ROUND((Q260-O260)*86400,0),""))))</f>
        <v/>
      </c>
      <c r="AC260" s="19" t="str">
        <f aca="false">IF(AND(ISNUMBER(Q260),ISNUMBER(R260)),ROUND(R260-Q260,2),"")</f>
        <v/>
      </c>
      <c r="AD260" s="19" t="str">
        <f aca="false">IF(AND(ISNUMBER(AB260),ISNUMBER(Z260)),AB260-Z260,"")</f>
        <v/>
      </c>
      <c r="AE260" s="19"/>
      <c r="AF260" s="19"/>
      <c r="AG260" s="22"/>
      <c r="AH260" s="23"/>
      <c r="AI260" s="23"/>
      <c r="AJ260" s="23"/>
      <c r="AK260" s="23"/>
      <c r="AL260" s="23"/>
      <c r="AM260" s="23"/>
      <c r="AN260" s="23"/>
      <c r="AO260" s="23"/>
      <c r="AP260" s="23"/>
      <c r="AQ260" s="23"/>
      <c r="AR260" s="23"/>
      <c r="AS260" s="23"/>
      <c r="AT260" s="23"/>
      <c r="AU260" s="23"/>
      <c r="AV260" s="23"/>
      <c r="AW260" s="23"/>
      <c r="AX260" s="23"/>
      <c r="AY260" s="23"/>
      <c r="AZ260" s="23"/>
      <c r="BA260" s="23"/>
      <c r="BB260" s="23"/>
      <c r="BC260" s="23"/>
      <c r="BD260" s="23"/>
      <c r="BE260" s="23"/>
      <c r="BF260" s="23"/>
      <c r="BG260" s="24"/>
      <c r="BH260" s="23"/>
      <c r="BI260" s="23"/>
      <c r="BJ260" s="19"/>
      <c r="BK260" s="19"/>
      <c r="BL260" s="19"/>
      <c r="BM260" s="19"/>
      <c r="BN260" s="23"/>
      <c r="BO260" s="23"/>
      <c r="BP260" s="19"/>
      <c r="BQ260" s="19"/>
      <c r="BR260" s="19"/>
      <c r="BS260" s="23"/>
    </row>
    <row r="261" customFormat="false" ht="15" hidden="false" customHeight="false" outlineLevel="0" collapsed="false">
      <c r="A261" s="19"/>
      <c r="B261" s="19"/>
      <c r="C261" s="19"/>
      <c r="D261" s="19"/>
      <c r="E261" s="19"/>
      <c r="F261" s="19"/>
      <c r="G261" s="19"/>
      <c r="H261" s="20"/>
      <c r="I261" s="19"/>
      <c r="J261" s="19"/>
      <c r="K261" s="19"/>
      <c r="L261" s="21"/>
      <c r="M261" s="21"/>
      <c r="N261" s="21"/>
      <c r="O261" s="21"/>
      <c r="P261" s="21"/>
      <c r="Q261" s="21"/>
      <c r="R261" s="21"/>
      <c r="S261" s="19"/>
      <c r="T261" s="19"/>
      <c r="U261" s="19"/>
      <c r="V261" s="19"/>
      <c r="W261" s="19"/>
      <c r="X261" s="19"/>
      <c r="Y261" s="19"/>
      <c r="Z261" s="19"/>
      <c r="AA261" s="19"/>
      <c r="AB261" s="19" t="str">
        <f aca="false">IF(NOT(ISNUMBER(Q261)),"",IF(E261="organizer_case",IF(ISNUMBER(P261),ROUND((Q261-P261)*86400,0),""),IF(J261="ADVANCE",IF(ISNUMBER(O261),ROUND((Q261-MAX(O261,N261))*86400,0),""),IF(ISNUMBER(O261),ROUND((Q261-O261)*86400,0),""))))</f>
        <v/>
      </c>
      <c r="AC261" s="19" t="str">
        <f aca="false">IF(AND(ISNUMBER(Q261),ISNUMBER(R261)),ROUND(R261-Q261,2),"")</f>
        <v/>
      </c>
      <c r="AD261" s="19" t="str">
        <f aca="false">IF(AND(ISNUMBER(AB261),ISNUMBER(Z261)),AB261-Z261,"")</f>
        <v/>
      </c>
      <c r="AE261" s="19"/>
      <c r="AF261" s="19"/>
      <c r="AG261" s="22"/>
      <c r="AH261" s="23"/>
      <c r="AI261" s="23"/>
      <c r="AJ261" s="23"/>
      <c r="AK261" s="23"/>
      <c r="AL261" s="23"/>
      <c r="AM261" s="23"/>
      <c r="AN261" s="23"/>
      <c r="AO261" s="23"/>
      <c r="AP261" s="23"/>
      <c r="AQ261" s="23"/>
      <c r="AR261" s="23"/>
      <c r="AS261" s="23"/>
      <c r="AT261" s="23"/>
      <c r="AU261" s="23"/>
      <c r="AV261" s="23"/>
      <c r="AW261" s="23"/>
      <c r="AX261" s="23"/>
      <c r="AY261" s="23"/>
      <c r="AZ261" s="23"/>
      <c r="BA261" s="23"/>
      <c r="BB261" s="23"/>
      <c r="BC261" s="23"/>
      <c r="BD261" s="23"/>
      <c r="BE261" s="23"/>
      <c r="BF261" s="23"/>
      <c r="BG261" s="24"/>
      <c r="BH261" s="23"/>
      <c r="BI261" s="23"/>
      <c r="BJ261" s="19"/>
      <c r="BK261" s="19"/>
      <c r="BL261" s="19"/>
      <c r="BM261" s="19"/>
      <c r="BN261" s="23"/>
      <c r="BO261" s="23"/>
      <c r="BP261" s="19"/>
      <c r="BQ261" s="19"/>
      <c r="BR261" s="19"/>
      <c r="BS261" s="23"/>
    </row>
    <row r="262" customFormat="false" ht="15" hidden="false" customHeight="false" outlineLevel="0" collapsed="false">
      <c r="A262" s="19"/>
      <c r="B262" s="19"/>
      <c r="C262" s="19"/>
      <c r="D262" s="19"/>
      <c r="E262" s="19"/>
      <c r="F262" s="19"/>
      <c r="G262" s="19"/>
      <c r="H262" s="20"/>
      <c r="I262" s="19"/>
      <c r="J262" s="19"/>
      <c r="K262" s="19"/>
      <c r="L262" s="21"/>
      <c r="M262" s="21"/>
      <c r="N262" s="21"/>
      <c r="O262" s="21"/>
      <c r="P262" s="21"/>
      <c r="Q262" s="21"/>
      <c r="R262" s="21"/>
      <c r="S262" s="19"/>
      <c r="T262" s="19"/>
      <c r="U262" s="19"/>
      <c r="V262" s="19"/>
      <c r="W262" s="19"/>
      <c r="X262" s="19"/>
      <c r="Y262" s="19"/>
      <c r="Z262" s="19"/>
      <c r="AA262" s="19"/>
      <c r="AB262" s="19" t="str">
        <f aca="false">IF(NOT(ISNUMBER(Q262)),"",IF(E262="organizer_case",IF(ISNUMBER(P262),ROUND((Q262-P262)*86400,0),""),IF(J262="ADVANCE",IF(ISNUMBER(O262),ROUND((Q262-MAX(O262,N262))*86400,0),""),IF(ISNUMBER(O262),ROUND((Q262-O262)*86400,0),""))))</f>
        <v/>
      </c>
      <c r="AC262" s="19" t="str">
        <f aca="false">IF(AND(ISNUMBER(Q262),ISNUMBER(R262)),ROUND(R262-Q262,2),"")</f>
        <v/>
      </c>
      <c r="AD262" s="19" t="str">
        <f aca="false">IF(AND(ISNUMBER(AB262),ISNUMBER(Z262)),AB262-Z262,"")</f>
        <v/>
      </c>
      <c r="AE262" s="19"/>
      <c r="AF262" s="19"/>
      <c r="AG262" s="22"/>
      <c r="AH262" s="23"/>
      <c r="AI262" s="23"/>
      <c r="AJ262" s="23"/>
      <c r="AK262" s="23"/>
      <c r="AL262" s="23"/>
      <c r="AM262" s="23"/>
      <c r="AN262" s="23"/>
      <c r="AO262" s="23"/>
      <c r="AP262" s="23"/>
      <c r="AQ262" s="23"/>
      <c r="AR262" s="23"/>
      <c r="AS262" s="23"/>
      <c r="AT262" s="23"/>
      <c r="AU262" s="23"/>
      <c r="AV262" s="23"/>
      <c r="AW262" s="23"/>
      <c r="AX262" s="23"/>
      <c r="AY262" s="23"/>
      <c r="AZ262" s="23"/>
      <c r="BA262" s="23"/>
      <c r="BB262" s="23"/>
      <c r="BC262" s="23"/>
      <c r="BD262" s="23"/>
      <c r="BE262" s="23"/>
      <c r="BF262" s="23"/>
      <c r="BG262" s="24"/>
      <c r="BH262" s="23"/>
      <c r="BI262" s="23"/>
      <c r="BJ262" s="19"/>
      <c r="BK262" s="19"/>
      <c r="BL262" s="19"/>
      <c r="BM262" s="19"/>
      <c r="BN262" s="23"/>
      <c r="BO262" s="23"/>
      <c r="BP262" s="19"/>
      <c r="BQ262" s="19"/>
      <c r="BR262" s="19"/>
      <c r="BS262" s="23"/>
    </row>
    <row r="263" customFormat="false" ht="15" hidden="false" customHeight="false" outlineLevel="0" collapsed="false">
      <c r="A263" s="19"/>
      <c r="B263" s="19"/>
      <c r="C263" s="19"/>
      <c r="D263" s="19"/>
      <c r="E263" s="19"/>
      <c r="F263" s="19"/>
      <c r="G263" s="19"/>
      <c r="H263" s="20"/>
      <c r="I263" s="19"/>
      <c r="J263" s="19"/>
      <c r="K263" s="19"/>
      <c r="L263" s="21"/>
      <c r="M263" s="21"/>
      <c r="N263" s="21"/>
      <c r="O263" s="21"/>
      <c r="P263" s="21"/>
      <c r="Q263" s="21"/>
      <c r="R263" s="21"/>
      <c r="S263" s="19"/>
      <c r="T263" s="19"/>
      <c r="U263" s="19"/>
      <c r="V263" s="19"/>
      <c r="W263" s="19"/>
      <c r="X263" s="19"/>
      <c r="Y263" s="19"/>
      <c r="Z263" s="19"/>
      <c r="AA263" s="19"/>
      <c r="AB263" s="19" t="str">
        <f aca="false">IF(NOT(ISNUMBER(Q263)),"",IF(E263="organizer_case",IF(ISNUMBER(P263),ROUND((Q263-P263)*86400,0),""),IF(J263="ADVANCE",IF(ISNUMBER(O263),ROUND((Q263-MAX(O263,N263))*86400,0),""),IF(ISNUMBER(O263),ROUND((Q263-O263)*86400,0),""))))</f>
        <v/>
      </c>
      <c r="AC263" s="19" t="str">
        <f aca="false">IF(AND(ISNUMBER(Q263),ISNUMBER(R263)),ROUND(R263-Q263,2),"")</f>
        <v/>
      </c>
      <c r="AD263" s="19" t="str">
        <f aca="false">IF(AND(ISNUMBER(AB263),ISNUMBER(Z263)),AB263-Z263,"")</f>
        <v/>
      </c>
      <c r="AE263" s="19"/>
      <c r="AF263" s="19"/>
      <c r="AG263" s="22"/>
      <c r="AH263" s="23"/>
      <c r="AI263" s="23"/>
      <c r="AJ263" s="23"/>
      <c r="AK263" s="23"/>
      <c r="AL263" s="23"/>
      <c r="AM263" s="23"/>
      <c r="AN263" s="23"/>
      <c r="AO263" s="23"/>
      <c r="AP263" s="23"/>
      <c r="AQ263" s="23"/>
      <c r="AR263" s="23"/>
      <c r="AS263" s="23"/>
      <c r="AT263" s="23"/>
      <c r="AU263" s="23"/>
      <c r="AV263" s="23"/>
      <c r="AW263" s="23"/>
      <c r="AX263" s="23"/>
      <c r="AY263" s="23"/>
      <c r="AZ263" s="23"/>
      <c r="BA263" s="23"/>
      <c r="BB263" s="23"/>
      <c r="BC263" s="23"/>
      <c r="BD263" s="23"/>
      <c r="BE263" s="23"/>
      <c r="BF263" s="23"/>
      <c r="BG263" s="24"/>
      <c r="BH263" s="23"/>
      <c r="BI263" s="23"/>
      <c r="BJ263" s="19"/>
      <c r="BK263" s="19"/>
      <c r="BL263" s="19"/>
      <c r="BM263" s="19"/>
      <c r="BN263" s="23"/>
      <c r="BO263" s="23"/>
      <c r="BP263" s="19"/>
      <c r="BQ263" s="19"/>
      <c r="BR263" s="19"/>
      <c r="BS263" s="23"/>
    </row>
    <row r="264" customFormat="false" ht="15" hidden="false" customHeight="false" outlineLevel="0" collapsed="false">
      <c r="A264" s="19"/>
      <c r="B264" s="19"/>
      <c r="C264" s="19"/>
      <c r="D264" s="19"/>
      <c r="E264" s="19"/>
      <c r="F264" s="19"/>
      <c r="G264" s="19"/>
      <c r="H264" s="20"/>
      <c r="I264" s="19"/>
      <c r="J264" s="19"/>
      <c r="K264" s="19"/>
      <c r="L264" s="21"/>
      <c r="M264" s="21"/>
      <c r="N264" s="21"/>
      <c r="O264" s="21"/>
      <c r="P264" s="21"/>
      <c r="Q264" s="21"/>
      <c r="R264" s="21"/>
      <c r="S264" s="19"/>
      <c r="T264" s="19"/>
      <c r="U264" s="19"/>
      <c r="V264" s="19"/>
      <c r="W264" s="19"/>
      <c r="X264" s="19"/>
      <c r="Y264" s="19"/>
      <c r="Z264" s="19"/>
      <c r="AA264" s="19"/>
      <c r="AB264" s="19" t="str">
        <f aca="false">IF(NOT(ISNUMBER(Q264)),"",IF(E264="organizer_case",IF(ISNUMBER(P264),ROUND((Q264-P264)*86400,0),""),IF(J264="ADVANCE",IF(ISNUMBER(O264),ROUND((Q264-MAX(O264,N264))*86400,0),""),IF(ISNUMBER(O264),ROUND((Q264-O264)*86400,0),""))))</f>
        <v/>
      </c>
      <c r="AC264" s="19" t="str">
        <f aca="false">IF(AND(ISNUMBER(Q264),ISNUMBER(R264)),ROUND(R264-Q264,2),"")</f>
        <v/>
      </c>
      <c r="AD264" s="19" t="str">
        <f aca="false">IF(AND(ISNUMBER(AB264),ISNUMBER(Z264)),AB264-Z264,"")</f>
        <v/>
      </c>
      <c r="AE264" s="19"/>
      <c r="AF264" s="19"/>
      <c r="AG264" s="22"/>
      <c r="AH264" s="23"/>
      <c r="AI264" s="23"/>
      <c r="AJ264" s="23"/>
      <c r="AK264" s="23"/>
      <c r="AL264" s="23"/>
      <c r="AM264" s="23"/>
      <c r="AN264" s="23"/>
      <c r="AO264" s="23"/>
      <c r="AP264" s="23"/>
      <c r="AQ264" s="23"/>
      <c r="AR264" s="23"/>
      <c r="AS264" s="23"/>
      <c r="AT264" s="23"/>
      <c r="AU264" s="23"/>
      <c r="AV264" s="23"/>
      <c r="AW264" s="23"/>
      <c r="AX264" s="23"/>
      <c r="AY264" s="23"/>
      <c r="AZ264" s="23"/>
      <c r="BA264" s="23"/>
      <c r="BB264" s="23"/>
      <c r="BC264" s="23"/>
      <c r="BD264" s="23"/>
      <c r="BE264" s="23"/>
      <c r="BF264" s="23"/>
      <c r="BG264" s="24"/>
      <c r="BH264" s="23"/>
      <c r="BI264" s="23"/>
      <c r="BJ264" s="19"/>
      <c r="BK264" s="19"/>
      <c r="BL264" s="19"/>
      <c r="BM264" s="19"/>
      <c r="BN264" s="23"/>
      <c r="BO264" s="23"/>
      <c r="BP264" s="19"/>
      <c r="BQ264" s="19"/>
      <c r="BR264" s="19"/>
      <c r="BS264" s="23"/>
    </row>
    <row r="265" customFormat="false" ht="15" hidden="false" customHeight="false" outlineLevel="0" collapsed="false">
      <c r="A265" s="19"/>
      <c r="B265" s="19"/>
      <c r="C265" s="19"/>
      <c r="D265" s="19"/>
      <c r="E265" s="19"/>
      <c r="F265" s="19"/>
      <c r="G265" s="19"/>
      <c r="H265" s="20"/>
      <c r="I265" s="19"/>
      <c r="J265" s="19"/>
      <c r="K265" s="19"/>
      <c r="L265" s="21"/>
      <c r="M265" s="21"/>
      <c r="N265" s="21"/>
      <c r="O265" s="21"/>
      <c r="P265" s="21"/>
      <c r="Q265" s="21"/>
      <c r="R265" s="21"/>
      <c r="S265" s="19"/>
      <c r="T265" s="19"/>
      <c r="U265" s="19"/>
      <c r="V265" s="19"/>
      <c r="W265" s="19"/>
      <c r="X265" s="19"/>
      <c r="Y265" s="19"/>
      <c r="Z265" s="19"/>
      <c r="AA265" s="19"/>
      <c r="AB265" s="19" t="str">
        <f aca="false">IF(NOT(ISNUMBER(Q265)),"",IF(E265="organizer_case",IF(ISNUMBER(P265),ROUND((Q265-P265)*86400,0),""),IF(J265="ADVANCE",IF(ISNUMBER(O265),ROUND((Q265-MAX(O265,N265))*86400,0),""),IF(ISNUMBER(O265),ROUND((Q265-O265)*86400,0),""))))</f>
        <v/>
      </c>
      <c r="AC265" s="19" t="str">
        <f aca="false">IF(AND(ISNUMBER(Q265),ISNUMBER(R265)),ROUND(R265-Q265,2),"")</f>
        <v/>
      </c>
      <c r="AD265" s="19" t="str">
        <f aca="false">IF(AND(ISNUMBER(AB265),ISNUMBER(Z265)),AB265-Z265,"")</f>
        <v/>
      </c>
      <c r="AE265" s="19"/>
      <c r="AF265" s="19"/>
      <c r="AG265" s="22"/>
      <c r="AH265" s="23"/>
      <c r="AI265" s="23"/>
      <c r="AJ265" s="23"/>
      <c r="AK265" s="23"/>
      <c r="AL265" s="23"/>
      <c r="AM265" s="23"/>
      <c r="AN265" s="23"/>
      <c r="AO265" s="23"/>
      <c r="AP265" s="23"/>
      <c r="AQ265" s="23"/>
      <c r="AR265" s="23"/>
      <c r="AS265" s="23"/>
      <c r="AT265" s="23"/>
      <c r="AU265" s="23"/>
      <c r="AV265" s="23"/>
      <c r="AW265" s="23"/>
      <c r="AX265" s="23"/>
      <c r="AY265" s="23"/>
      <c r="AZ265" s="23"/>
      <c r="BA265" s="23"/>
      <c r="BB265" s="23"/>
      <c r="BC265" s="23"/>
      <c r="BD265" s="23"/>
      <c r="BE265" s="23"/>
      <c r="BF265" s="23"/>
      <c r="BG265" s="24"/>
      <c r="BH265" s="23"/>
      <c r="BI265" s="23"/>
      <c r="BJ265" s="19"/>
      <c r="BK265" s="19"/>
      <c r="BL265" s="19"/>
      <c r="BM265" s="19"/>
      <c r="BN265" s="23"/>
      <c r="BO265" s="23"/>
      <c r="BP265" s="19"/>
      <c r="BQ265" s="19"/>
      <c r="BR265" s="19"/>
      <c r="BS265" s="23"/>
    </row>
    <row r="266" customFormat="false" ht="15" hidden="false" customHeight="false" outlineLevel="0" collapsed="false">
      <c r="A266" s="19"/>
      <c r="B266" s="19"/>
      <c r="C266" s="19"/>
      <c r="D266" s="19"/>
      <c r="E266" s="19"/>
      <c r="F266" s="19"/>
      <c r="G266" s="19"/>
      <c r="H266" s="20"/>
      <c r="I266" s="19"/>
      <c r="J266" s="19"/>
      <c r="K266" s="19"/>
      <c r="L266" s="21"/>
      <c r="M266" s="21"/>
      <c r="N266" s="21"/>
      <c r="O266" s="21"/>
      <c r="P266" s="21"/>
      <c r="Q266" s="21"/>
      <c r="R266" s="21"/>
      <c r="S266" s="19"/>
      <c r="T266" s="19"/>
      <c r="U266" s="19"/>
      <c r="V266" s="19"/>
      <c r="W266" s="19"/>
      <c r="X266" s="19"/>
      <c r="Y266" s="19"/>
      <c r="Z266" s="19"/>
      <c r="AA266" s="19"/>
      <c r="AB266" s="19" t="str">
        <f aca="false">IF(NOT(ISNUMBER(Q266)),"",IF(E266="organizer_case",IF(ISNUMBER(P266),ROUND((Q266-P266)*86400,0),""),IF(J266="ADVANCE",IF(ISNUMBER(O266),ROUND((Q266-MAX(O266,N266))*86400,0),""),IF(ISNUMBER(O266),ROUND((Q266-O266)*86400,0),""))))</f>
        <v/>
      </c>
      <c r="AC266" s="19" t="str">
        <f aca="false">IF(AND(ISNUMBER(Q266),ISNUMBER(R266)),ROUND(R266-Q266,2),"")</f>
        <v/>
      </c>
      <c r="AD266" s="19" t="str">
        <f aca="false">IF(AND(ISNUMBER(AB266),ISNUMBER(Z266)),AB266-Z266,"")</f>
        <v/>
      </c>
      <c r="AE266" s="19"/>
      <c r="AF266" s="19"/>
      <c r="AG266" s="22"/>
      <c r="AH266" s="23"/>
      <c r="AI266" s="23"/>
      <c r="AJ266" s="23"/>
      <c r="AK266" s="23"/>
      <c r="AL266" s="23"/>
      <c r="AM266" s="23"/>
      <c r="AN266" s="23"/>
      <c r="AO266" s="23"/>
      <c r="AP266" s="23"/>
      <c r="AQ266" s="23"/>
      <c r="AR266" s="23"/>
      <c r="AS266" s="23"/>
      <c r="AT266" s="23"/>
      <c r="AU266" s="23"/>
      <c r="AV266" s="23"/>
      <c r="AW266" s="23"/>
      <c r="AX266" s="23"/>
      <c r="AY266" s="23"/>
      <c r="AZ266" s="23"/>
      <c r="BA266" s="23"/>
      <c r="BB266" s="23"/>
      <c r="BC266" s="23"/>
      <c r="BD266" s="23"/>
      <c r="BE266" s="23"/>
      <c r="BF266" s="23"/>
      <c r="BG266" s="24"/>
      <c r="BH266" s="23"/>
      <c r="BI266" s="23"/>
      <c r="BJ266" s="19"/>
      <c r="BK266" s="19"/>
      <c r="BL266" s="19"/>
      <c r="BM266" s="19"/>
      <c r="BN266" s="23"/>
      <c r="BO266" s="23"/>
      <c r="BP266" s="19"/>
      <c r="BQ266" s="19"/>
      <c r="BR266" s="19"/>
      <c r="BS266" s="23"/>
    </row>
    <row r="267" customFormat="false" ht="15" hidden="false" customHeight="false" outlineLevel="0" collapsed="false">
      <c r="A267" s="19"/>
      <c r="B267" s="19"/>
      <c r="C267" s="19"/>
      <c r="D267" s="19"/>
      <c r="E267" s="19"/>
      <c r="F267" s="19"/>
      <c r="G267" s="19"/>
      <c r="H267" s="20"/>
      <c r="I267" s="19"/>
      <c r="J267" s="19"/>
      <c r="K267" s="19"/>
      <c r="L267" s="21"/>
      <c r="M267" s="21"/>
      <c r="N267" s="21"/>
      <c r="O267" s="21"/>
      <c r="P267" s="21"/>
      <c r="Q267" s="21"/>
      <c r="R267" s="21"/>
      <c r="S267" s="19"/>
      <c r="T267" s="19"/>
      <c r="U267" s="19"/>
      <c r="V267" s="19"/>
      <c r="W267" s="19"/>
      <c r="X267" s="19"/>
      <c r="Y267" s="19"/>
      <c r="Z267" s="19"/>
      <c r="AA267" s="19"/>
      <c r="AB267" s="19" t="str">
        <f aca="false">IF(NOT(ISNUMBER(Q267)),"",IF(E267="organizer_case",IF(ISNUMBER(P267),ROUND((Q267-P267)*86400,0),""),IF(J267="ADVANCE",IF(ISNUMBER(O267),ROUND((Q267-MAX(O267,N267))*86400,0),""),IF(ISNUMBER(O267),ROUND((Q267-O267)*86400,0),""))))</f>
        <v/>
      </c>
      <c r="AC267" s="19" t="str">
        <f aca="false">IF(AND(ISNUMBER(Q267),ISNUMBER(R267)),ROUND(R267-Q267,2),"")</f>
        <v/>
      </c>
      <c r="AD267" s="19" t="str">
        <f aca="false">IF(AND(ISNUMBER(AB267),ISNUMBER(Z267)),AB267-Z267,"")</f>
        <v/>
      </c>
      <c r="AE267" s="19"/>
      <c r="AF267" s="19"/>
      <c r="AG267" s="22"/>
      <c r="AH267" s="23"/>
      <c r="AI267" s="23"/>
      <c r="AJ267" s="23"/>
      <c r="AK267" s="23"/>
      <c r="AL267" s="23"/>
      <c r="AM267" s="23"/>
      <c r="AN267" s="23"/>
      <c r="AO267" s="23"/>
      <c r="AP267" s="23"/>
      <c r="AQ267" s="23"/>
      <c r="AR267" s="23"/>
      <c r="AS267" s="23"/>
      <c r="AT267" s="23"/>
      <c r="AU267" s="23"/>
      <c r="AV267" s="23"/>
      <c r="AW267" s="23"/>
      <c r="AX267" s="23"/>
      <c r="AY267" s="23"/>
      <c r="AZ267" s="23"/>
      <c r="BA267" s="23"/>
      <c r="BB267" s="23"/>
      <c r="BC267" s="23"/>
      <c r="BD267" s="23"/>
      <c r="BE267" s="23"/>
      <c r="BF267" s="23"/>
      <c r="BG267" s="24"/>
      <c r="BH267" s="23"/>
      <c r="BI267" s="23"/>
      <c r="BJ267" s="19"/>
      <c r="BK267" s="19"/>
      <c r="BL267" s="19"/>
      <c r="BM267" s="19"/>
      <c r="BN267" s="23"/>
      <c r="BO267" s="23"/>
      <c r="BP267" s="19"/>
      <c r="BQ267" s="19"/>
      <c r="BR267" s="19"/>
      <c r="BS267" s="23"/>
    </row>
    <row r="268" customFormat="false" ht="15" hidden="false" customHeight="false" outlineLevel="0" collapsed="false">
      <c r="A268" s="19"/>
      <c r="B268" s="19"/>
      <c r="C268" s="19"/>
      <c r="D268" s="19"/>
      <c r="E268" s="19"/>
      <c r="F268" s="19"/>
      <c r="G268" s="19"/>
      <c r="H268" s="20"/>
      <c r="I268" s="19"/>
      <c r="J268" s="19"/>
      <c r="K268" s="19"/>
      <c r="L268" s="21"/>
      <c r="M268" s="21"/>
      <c r="N268" s="21"/>
      <c r="O268" s="21"/>
      <c r="P268" s="21"/>
      <c r="Q268" s="21"/>
      <c r="R268" s="21"/>
      <c r="S268" s="19"/>
      <c r="T268" s="19"/>
      <c r="U268" s="19"/>
      <c r="V268" s="19"/>
      <c r="W268" s="19"/>
      <c r="X268" s="19"/>
      <c r="Y268" s="19"/>
      <c r="Z268" s="19"/>
      <c r="AA268" s="19"/>
      <c r="AB268" s="19" t="str">
        <f aca="false">IF(NOT(ISNUMBER(Q268)),"",IF(E268="organizer_case",IF(ISNUMBER(P268),ROUND((Q268-P268)*86400,0),""),IF(J268="ADVANCE",IF(ISNUMBER(O268),ROUND((Q268-MAX(O268,N268))*86400,0),""),IF(ISNUMBER(O268),ROUND((Q268-O268)*86400,0),""))))</f>
        <v/>
      </c>
      <c r="AC268" s="19" t="str">
        <f aca="false">IF(AND(ISNUMBER(Q268),ISNUMBER(R268)),ROUND(R268-Q268,2),"")</f>
        <v/>
      </c>
      <c r="AD268" s="19" t="str">
        <f aca="false">IF(AND(ISNUMBER(AB268),ISNUMBER(Z268)),AB268-Z268,"")</f>
        <v/>
      </c>
      <c r="AE268" s="19"/>
      <c r="AF268" s="19"/>
      <c r="AG268" s="22"/>
      <c r="AH268" s="23"/>
      <c r="AI268" s="23"/>
      <c r="AJ268" s="23"/>
      <c r="AK268" s="23"/>
      <c r="AL268" s="23"/>
      <c r="AM268" s="23"/>
      <c r="AN268" s="23"/>
      <c r="AO268" s="23"/>
      <c r="AP268" s="23"/>
      <c r="AQ268" s="23"/>
      <c r="AR268" s="23"/>
      <c r="AS268" s="23"/>
      <c r="AT268" s="23"/>
      <c r="AU268" s="23"/>
      <c r="AV268" s="23"/>
      <c r="AW268" s="23"/>
      <c r="AX268" s="23"/>
      <c r="AY268" s="23"/>
      <c r="AZ268" s="23"/>
      <c r="BA268" s="23"/>
      <c r="BB268" s="23"/>
      <c r="BC268" s="23"/>
      <c r="BD268" s="23"/>
      <c r="BE268" s="23"/>
      <c r="BF268" s="23"/>
      <c r="BG268" s="24"/>
      <c r="BH268" s="23"/>
      <c r="BI268" s="23"/>
      <c r="BJ268" s="19"/>
      <c r="BK268" s="19"/>
      <c r="BL268" s="19"/>
      <c r="BM268" s="19"/>
      <c r="BN268" s="23"/>
      <c r="BO268" s="23"/>
      <c r="BP268" s="19"/>
      <c r="BQ268" s="19"/>
      <c r="BR268" s="19"/>
      <c r="BS268" s="23"/>
    </row>
    <row r="269" customFormat="false" ht="15" hidden="false" customHeight="false" outlineLevel="0" collapsed="false">
      <c r="A269" s="19"/>
      <c r="B269" s="19"/>
      <c r="C269" s="19"/>
      <c r="D269" s="19"/>
      <c r="E269" s="19"/>
      <c r="F269" s="19"/>
      <c r="G269" s="19"/>
      <c r="H269" s="20"/>
      <c r="I269" s="19"/>
      <c r="J269" s="19"/>
      <c r="K269" s="19"/>
      <c r="L269" s="21"/>
      <c r="M269" s="21"/>
      <c r="N269" s="21"/>
      <c r="O269" s="21"/>
      <c r="P269" s="21"/>
      <c r="Q269" s="21"/>
      <c r="R269" s="21"/>
      <c r="S269" s="19"/>
      <c r="T269" s="19"/>
      <c r="U269" s="19"/>
      <c r="V269" s="19"/>
      <c r="W269" s="19"/>
      <c r="X269" s="19"/>
      <c r="Y269" s="19"/>
      <c r="Z269" s="19"/>
      <c r="AA269" s="19"/>
      <c r="AB269" s="19" t="str">
        <f aca="false">IF(NOT(ISNUMBER(Q269)),"",IF(E269="organizer_case",IF(ISNUMBER(P269),ROUND((Q269-P269)*86400,0),""),IF(J269="ADVANCE",IF(ISNUMBER(O269),ROUND((Q269-MAX(O269,N269))*86400,0),""),IF(ISNUMBER(O269),ROUND((Q269-O269)*86400,0),""))))</f>
        <v/>
      </c>
      <c r="AC269" s="19" t="str">
        <f aca="false">IF(AND(ISNUMBER(Q269),ISNUMBER(R269)),ROUND(R269-Q269,2),"")</f>
        <v/>
      </c>
      <c r="AD269" s="19" t="str">
        <f aca="false">IF(AND(ISNUMBER(AB269),ISNUMBER(Z269)),AB269-Z269,"")</f>
        <v/>
      </c>
      <c r="AE269" s="19"/>
      <c r="AF269" s="19"/>
      <c r="AG269" s="22"/>
      <c r="AH269" s="23"/>
      <c r="AI269" s="23"/>
      <c r="AJ269" s="23"/>
      <c r="AK269" s="23"/>
      <c r="AL269" s="23"/>
      <c r="AM269" s="23"/>
      <c r="AN269" s="23"/>
      <c r="AO269" s="23"/>
      <c r="AP269" s="23"/>
      <c r="AQ269" s="23"/>
      <c r="AR269" s="23"/>
      <c r="AS269" s="23"/>
      <c r="AT269" s="23"/>
      <c r="AU269" s="23"/>
      <c r="AV269" s="23"/>
      <c r="AW269" s="23"/>
      <c r="AX269" s="23"/>
      <c r="AY269" s="23"/>
      <c r="AZ269" s="23"/>
      <c r="BA269" s="23"/>
      <c r="BB269" s="23"/>
      <c r="BC269" s="23"/>
      <c r="BD269" s="23"/>
      <c r="BE269" s="23"/>
      <c r="BF269" s="23"/>
      <c r="BG269" s="24"/>
      <c r="BH269" s="23"/>
      <c r="BI269" s="23"/>
      <c r="BJ269" s="19"/>
      <c r="BK269" s="19"/>
      <c r="BL269" s="19"/>
      <c r="BM269" s="19"/>
      <c r="BN269" s="23"/>
      <c r="BO269" s="23"/>
      <c r="BP269" s="19"/>
      <c r="BQ269" s="19"/>
      <c r="BR269" s="19"/>
      <c r="BS269" s="23"/>
    </row>
    <row r="270" customFormat="false" ht="15" hidden="false" customHeight="false" outlineLevel="0" collapsed="false">
      <c r="A270" s="19"/>
      <c r="B270" s="19"/>
      <c r="C270" s="19"/>
      <c r="D270" s="19"/>
      <c r="E270" s="19"/>
      <c r="F270" s="19"/>
      <c r="G270" s="19"/>
      <c r="H270" s="20"/>
      <c r="I270" s="19"/>
      <c r="J270" s="19"/>
      <c r="K270" s="19"/>
      <c r="L270" s="21"/>
      <c r="M270" s="21"/>
      <c r="N270" s="21"/>
      <c r="O270" s="21"/>
      <c r="P270" s="21"/>
      <c r="Q270" s="21"/>
      <c r="R270" s="21"/>
      <c r="S270" s="19"/>
      <c r="T270" s="19"/>
      <c r="U270" s="19"/>
      <c r="V270" s="19"/>
      <c r="W270" s="19"/>
      <c r="X270" s="19"/>
      <c r="Y270" s="19"/>
      <c r="Z270" s="19"/>
      <c r="AA270" s="19"/>
      <c r="AB270" s="19" t="str">
        <f aca="false">IF(NOT(ISNUMBER(Q270)),"",IF(E270="organizer_case",IF(ISNUMBER(P270),ROUND((Q270-P270)*86400,0),""),IF(J270="ADVANCE",IF(ISNUMBER(O270),ROUND((Q270-MAX(O270,N270))*86400,0),""),IF(ISNUMBER(O270),ROUND((Q270-O270)*86400,0),""))))</f>
        <v/>
      </c>
      <c r="AC270" s="19" t="str">
        <f aca="false">IF(AND(ISNUMBER(Q270),ISNUMBER(R270)),ROUND(R270-Q270,2),"")</f>
        <v/>
      </c>
      <c r="AD270" s="19" t="str">
        <f aca="false">IF(AND(ISNUMBER(AB270),ISNUMBER(Z270)),AB270-Z270,"")</f>
        <v/>
      </c>
      <c r="AE270" s="19"/>
      <c r="AF270" s="19"/>
      <c r="AG270" s="22"/>
      <c r="AH270" s="23"/>
      <c r="AI270" s="23"/>
      <c r="AJ270" s="23"/>
      <c r="AK270" s="23"/>
      <c r="AL270" s="23"/>
      <c r="AM270" s="23"/>
      <c r="AN270" s="23"/>
      <c r="AO270" s="23"/>
      <c r="AP270" s="23"/>
      <c r="AQ270" s="23"/>
      <c r="AR270" s="23"/>
      <c r="AS270" s="23"/>
      <c r="AT270" s="23"/>
      <c r="AU270" s="23"/>
      <c r="AV270" s="23"/>
      <c r="AW270" s="23"/>
      <c r="AX270" s="23"/>
      <c r="AY270" s="23"/>
      <c r="AZ270" s="23"/>
      <c r="BA270" s="23"/>
      <c r="BB270" s="23"/>
      <c r="BC270" s="23"/>
      <c r="BD270" s="23"/>
      <c r="BE270" s="23"/>
      <c r="BF270" s="23"/>
      <c r="BG270" s="24"/>
      <c r="BH270" s="23"/>
      <c r="BI270" s="23"/>
      <c r="BJ270" s="19"/>
      <c r="BK270" s="19"/>
      <c r="BL270" s="19"/>
      <c r="BM270" s="19"/>
      <c r="BN270" s="23"/>
      <c r="BO270" s="23"/>
      <c r="BP270" s="19"/>
      <c r="BQ270" s="19"/>
      <c r="BR270" s="19"/>
      <c r="BS270" s="23"/>
    </row>
    <row r="271" customFormat="false" ht="15" hidden="false" customHeight="false" outlineLevel="0" collapsed="false">
      <c r="A271" s="19"/>
      <c r="B271" s="19"/>
      <c r="C271" s="19"/>
      <c r="D271" s="19"/>
      <c r="E271" s="19"/>
      <c r="F271" s="19"/>
      <c r="G271" s="19"/>
      <c r="H271" s="20"/>
      <c r="I271" s="19"/>
      <c r="J271" s="19"/>
      <c r="K271" s="19"/>
      <c r="L271" s="21"/>
      <c r="M271" s="21"/>
      <c r="N271" s="21"/>
      <c r="O271" s="21"/>
      <c r="P271" s="21"/>
      <c r="Q271" s="21"/>
      <c r="R271" s="21"/>
      <c r="S271" s="19"/>
      <c r="T271" s="19"/>
      <c r="U271" s="19"/>
      <c r="V271" s="19"/>
      <c r="W271" s="19"/>
      <c r="X271" s="19"/>
      <c r="Y271" s="19"/>
      <c r="Z271" s="19"/>
      <c r="AA271" s="19"/>
      <c r="AB271" s="19" t="str">
        <f aca="false">IF(NOT(ISNUMBER(Q271)),"",IF(E271="organizer_case",IF(ISNUMBER(P271),ROUND((Q271-P271)*86400,0),""),IF(J271="ADVANCE",IF(ISNUMBER(O271),ROUND((Q271-MAX(O271,N271))*86400,0),""),IF(ISNUMBER(O271),ROUND((Q271-O271)*86400,0),""))))</f>
        <v/>
      </c>
      <c r="AC271" s="19" t="str">
        <f aca="false">IF(AND(ISNUMBER(Q271),ISNUMBER(R271)),ROUND(R271-Q271,2),"")</f>
        <v/>
      </c>
      <c r="AD271" s="19" t="str">
        <f aca="false">IF(AND(ISNUMBER(AB271),ISNUMBER(Z271)),AB271-Z271,"")</f>
        <v/>
      </c>
      <c r="AE271" s="19"/>
      <c r="AF271" s="19"/>
      <c r="AG271" s="22"/>
      <c r="AH271" s="23"/>
      <c r="AI271" s="23"/>
      <c r="AJ271" s="23"/>
      <c r="AK271" s="23"/>
      <c r="AL271" s="23"/>
      <c r="AM271" s="23"/>
      <c r="AN271" s="23"/>
      <c r="AO271" s="23"/>
      <c r="AP271" s="23"/>
      <c r="AQ271" s="23"/>
      <c r="AR271" s="23"/>
      <c r="AS271" s="23"/>
      <c r="AT271" s="23"/>
      <c r="AU271" s="23"/>
      <c r="AV271" s="23"/>
      <c r="AW271" s="23"/>
      <c r="AX271" s="23"/>
      <c r="AY271" s="23"/>
      <c r="AZ271" s="23"/>
      <c r="BA271" s="23"/>
      <c r="BB271" s="23"/>
      <c r="BC271" s="23"/>
      <c r="BD271" s="23"/>
      <c r="BE271" s="23"/>
      <c r="BF271" s="23"/>
      <c r="BG271" s="24"/>
      <c r="BH271" s="23"/>
      <c r="BI271" s="23"/>
      <c r="BJ271" s="19"/>
      <c r="BK271" s="19"/>
      <c r="BL271" s="19"/>
      <c r="BM271" s="19"/>
      <c r="BN271" s="23"/>
      <c r="BO271" s="23"/>
      <c r="BP271" s="19"/>
      <c r="BQ271" s="19"/>
      <c r="BR271" s="19"/>
      <c r="BS271" s="23"/>
    </row>
    <row r="272" customFormat="false" ht="15" hidden="false" customHeight="false" outlineLevel="0" collapsed="false">
      <c r="A272" s="19"/>
      <c r="B272" s="19"/>
      <c r="C272" s="19"/>
      <c r="D272" s="19"/>
      <c r="E272" s="19"/>
      <c r="F272" s="19"/>
      <c r="G272" s="19"/>
      <c r="H272" s="20"/>
      <c r="I272" s="19"/>
      <c r="J272" s="19"/>
      <c r="K272" s="19"/>
      <c r="L272" s="21"/>
      <c r="M272" s="21"/>
      <c r="N272" s="21"/>
      <c r="O272" s="21"/>
      <c r="P272" s="21"/>
      <c r="Q272" s="21"/>
      <c r="R272" s="21"/>
      <c r="S272" s="19"/>
      <c r="T272" s="19"/>
      <c r="U272" s="19"/>
      <c r="V272" s="19"/>
      <c r="W272" s="19"/>
      <c r="X272" s="19"/>
      <c r="Y272" s="19"/>
      <c r="Z272" s="19"/>
      <c r="AA272" s="19"/>
      <c r="AB272" s="19" t="str">
        <f aca="false">IF(NOT(ISNUMBER(Q272)),"",IF(E272="organizer_case",IF(ISNUMBER(P272),ROUND((Q272-P272)*86400,0),""),IF(J272="ADVANCE",IF(ISNUMBER(O272),ROUND((Q272-MAX(O272,N272))*86400,0),""),IF(ISNUMBER(O272),ROUND((Q272-O272)*86400,0),""))))</f>
        <v/>
      </c>
      <c r="AC272" s="19" t="str">
        <f aca="false">IF(AND(ISNUMBER(Q272),ISNUMBER(R272)),ROUND(R272-Q272,2),"")</f>
        <v/>
      </c>
      <c r="AD272" s="19" t="str">
        <f aca="false">IF(AND(ISNUMBER(AB272),ISNUMBER(Z272)),AB272-Z272,"")</f>
        <v/>
      </c>
      <c r="AE272" s="19"/>
      <c r="AF272" s="19"/>
      <c r="AG272" s="22"/>
      <c r="AH272" s="23"/>
      <c r="AI272" s="23"/>
      <c r="AJ272" s="23"/>
      <c r="AK272" s="23"/>
      <c r="AL272" s="23"/>
      <c r="AM272" s="23"/>
      <c r="AN272" s="23"/>
      <c r="AO272" s="23"/>
      <c r="AP272" s="23"/>
      <c r="AQ272" s="23"/>
      <c r="AR272" s="23"/>
      <c r="AS272" s="23"/>
      <c r="AT272" s="23"/>
      <c r="AU272" s="23"/>
      <c r="AV272" s="23"/>
      <c r="AW272" s="23"/>
      <c r="AX272" s="23"/>
      <c r="AY272" s="23"/>
      <c r="AZ272" s="23"/>
      <c r="BA272" s="23"/>
      <c r="BB272" s="23"/>
      <c r="BC272" s="23"/>
      <c r="BD272" s="23"/>
      <c r="BE272" s="23"/>
      <c r="BF272" s="23"/>
      <c r="BG272" s="24"/>
      <c r="BH272" s="23"/>
      <c r="BI272" s="23"/>
      <c r="BJ272" s="19"/>
      <c r="BK272" s="19"/>
      <c r="BL272" s="19"/>
      <c r="BM272" s="19"/>
      <c r="BN272" s="23"/>
      <c r="BO272" s="23"/>
      <c r="BP272" s="19"/>
      <c r="BQ272" s="19"/>
      <c r="BR272" s="19"/>
      <c r="BS272" s="23"/>
    </row>
    <row r="273" customFormat="false" ht="15" hidden="false" customHeight="false" outlineLevel="0" collapsed="false">
      <c r="A273" s="19"/>
      <c r="B273" s="19"/>
      <c r="C273" s="19"/>
      <c r="D273" s="19"/>
      <c r="E273" s="19"/>
      <c r="F273" s="19"/>
      <c r="G273" s="19"/>
      <c r="H273" s="20"/>
      <c r="I273" s="19"/>
      <c r="J273" s="19"/>
      <c r="K273" s="19"/>
      <c r="L273" s="21"/>
      <c r="M273" s="21"/>
      <c r="N273" s="21"/>
      <c r="O273" s="21"/>
      <c r="P273" s="21"/>
      <c r="Q273" s="21"/>
      <c r="R273" s="21"/>
      <c r="S273" s="19"/>
      <c r="T273" s="19"/>
      <c r="U273" s="19"/>
      <c r="V273" s="19"/>
      <c r="W273" s="19"/>
      <c r="X273" s="19"/>
      <c r="Y273" s="19"/>
      <c r="Z273" s="19"/>
      <c r="AA273" s="19"/>
      <c r="AB273" s="19" t="str">
        <f aca="false">IF(NOT(ISNUMBER(Q273)),"",IF(E273="organizer_case",IF(ISNUMBER(P273),ROUND((Q273-P273)*86400,0),""),IF(J273="ADVANCE",IF(ISNUMBER(O273),ROUND((Q273-MAX(O273,N273))*86400,0),""),IF(ISNUMBER(O273),ROUND((Q273-O273)*86400,0),""))))</f>
        <v/>
      </c>
      <c r="AC273" s="19" t="str">
        <f aca="false">IF(AND(ISNUMBER(Q273),ISNUMBER(R273)),ROUND(R273-Q273,2),"")</f>
        <v/>
      </c>
      <c r="AD273" s="19" t="str">
        <f aca="false">IF(AND(ISNUMBER(AB273),ISNUMBER(Z273)),AB273-Z273,"")</f>
        <v/>
      </c>
      <c r="AE273" s="19"/>
      <c r="AF273" s="19"/>
      <c r="AG273" s="22"/>
      <c r="AH273" s="23"/>
      <c r="AI273" s="23"/>
      <c r="AJ273" s="23"/>
      <c r="AK273" s="23"/>
      <c r="AL273" s="23"/>
      <c r="AM273" s="23"/>
      <c r="AN273" s="23"/>
      <c r="AO273" s="23"/>
      <c r="AP273" s="23"/>
      <c r="AQ273" s="23"/>
      <c r="AR273" s="23"/>
      <c r="AS273" s="23"/>
      <c r="AT273" s="23"/>
      <c r="AU273" s="23"/>
      <c r="AV273" s="23"/>
      <c r="AW273" s="23"/>
      <c r="AX273" s="23"/>
      <c r="AY273" s="23"/>
      <c r="AZ273" s="23"/>
      <c r="BA273" s="23"/>
      <c r="BB273" s="23"/>
      <c r="BC273" s="23"/>
      <c r="BD273" s="23"/>
      <c r="BE273" s="23"/>
      <c r="BF273" s="23"/>
      <c r="BG273" s="24"/>
      <c r="BH273" s="23"/>
      <c r="BI273" s="23"/>
      <c r="BJ273" s="19"/>
      <c r="BK273" s="19"/>
      <c r="BL273" s="19"/>
      <c r="BM273" s="19"/>
      <c r="BN273" s="23"/>
      <c r="BO273" s="23"/>
      <c r="BP273" s="19"/>
      <c r="BQ273" s="19"/>
      <c r="BR273" s="19"/>
      <c r="BS273" s="23"/>
    </row>
    <row r="274" customFormat="false" ht="15" hidden="false" customHeight="false" outlineLevel="0" collapsed="false">
      <c r="A274" s="19"/>
      <c r="B274" s="19"/>
      <c r="C274" s="19"/>
      <c r="D274" s="19"/>
      <c r="E274" s="19"/>
      <c r="F274" s="19"/>
      <c r="G274" s="19"/>
      <c r="H274" s="20"/>
      <c r="I274" s="19"/>
      <c r="J274" s="19"/>
      <c r="K274" s="19"/>
      <c r="L274" s="21"/>
      <c r="M274" s="21"/>
      <c r="N274" s="21"/>
      <c r="O274" s="21"/>
      <c r="P274" s="21"/>
      <c r="Q274" s="21"/>
      <c r="R274" s="21"/>
      <c r="S274" s="19"/>
      <c r="T274" s="19"/>
      <c r="U274" s="19"/>
      <c r="V274" s="19"/>
      <c r="W274" s="19"/>
      <c r="X274" s="19"/>
      <c r="Y274" s="19"/>
      <c r="Z274" s="19"/>
      <c r="AA274" s="19"/>
      <c r="AB274" s="19" t="str">
        <f aca="false">IF(NOT(ISNUMBER(Q274)),"",IF(E274="organizer_case",IF(ISNUMBER(P274),ROUND((Q274-P274)*86400,0),""),IF(J274="ADVANCE",IF(ISNUMBER(O274),ROUND((Q274-MAX(O274,N274))*86400,0),""),IF(ISNUMBER(O274),ROUND((Q274-O274)*86400,0),""))))</f>
        <v/>
      </c>
      <c r="AC274" s="19" t="str">
        <f aca="false">IF(AND(ISNUMBER(Q274),ISNUMBER(R274)),ROUND(R274-Q274,2),"")</f>
        <v/>
      </c>
      <c r="AD274" s="19" t="str">
        <f aca="false">IF(AND(ISNUMBER(AB274),ISNUMBER(Z274)),AB274-Z274,"")</f>
        <v/>
      </c>
      <c r="AE274" s="19"/>
      <c r="AF274" s="19"/>
      <c r="AG274" s="22"/>
      <c r="AH274" s="23"/>
      <c r="AI274" s="23"/>
      <c r="AJ274" s="23"/>
      <c r="AK274" s="23"/>
      <c r="AL274" s="23"/>
      <c r="AM274" s="23"/>
      <c r="AN274" s="23"/>
      <c r="AO274" s="23"/>
      <c r="AP274" s="23"/>
      <c r="AQ274" s="23"/>
      <c r="AR274" s="23"/>
      <c r="AS274" s="23"/>
      <c r="AT274" s="23"/>
      <c r="AU274" s="23"/>
      <c r="AV274" s="23"/>
      <c r="AW274" s="23"/>
      <c r="AX274" s="23"/>
      <c r="AY274" s="23"/>
      <c r="AZ274" s="23"/>
      <c r="BA274" s="23"/>
      <c r="BB274" s="23"/>
      <c r="BC274" s="23"/>
      <c r="BD274" s="23"/>
      <c r="BE274" s="23"/>
      <c r="BF274" s="23"/>
      <c r="BG274" s="24"/>
      <c r="BH274" s="23"/>
      <c r="BI274" s="23"/>
      <c r="BJ274" s="19"/>
      <c r="BK274" s="19"/>
      <c r="BL274" s="19"/>
      <c r="BM274" s="19"/>
      <c r="BN274" s="23"/>
      <c r="BO274" s="23"/>
      <c r="BP274" s="19"/>
      <c r="BQ274" s="19"/>
      <c r="BR274" s="19"/>
      <c r="BS274" s="23"/>
    </row>
    <row r="275" customFormat="false" ht="15" hidden="false" customHeight="false" outlineLevel="0" collapsed="false">
      <c r="A275" s="19"/>
      <c r="B275" s="19"/>
      <c r="C275" s="19"/>
      <c r="D275" s="19"/>
      <c r="E275" s="19"/>
      <c r="F275" s="19"/>
      <c r="G275" s="19"/>
      <c r="H275" s="20"/>
      <c r="I275" s="19"/>
      <c r="J275" s="19"/>
      <c r="K275" s="19"/>
      <c r="L275" s="21"/>
      <c r="M275" s="21"/>
      <c r="N275" s="21"/>
      <c r="O275" s="21"/>
      <c r="P275" s="21"/>
      <c r="Q275" s="21"/>
      <c r="R275" s="21"/>
      <c r="S275" s="19"/>
      <c r="T275" s="19"/>
      <c r="U275" s="19"/>
      <c r="V275" s="19"/>
      <c r="W275" s="19"/>
      <c r="X275" s="19"/>
      <c r="Y275" s="19"/>
      <c r="Z275" s="19"/>
      <c r="AA275" s="19"/>
      <c r="AB275" s="19" t="str">
        <f aca="false">IF(NOT(ISNUMBER(Q275)),"",IF(E275="organizer_case",IF(ISNUMBER(P275),ROUND((Q275-P275)*86400,0),""),IF(J275="ADVANCE",IF(ISNUMBER(O275),ROUND((Q275-MAX(O275,N275))*86400,0),""),IF(ISNUMBER(O275),ROUND((Q275-O275)*86400,0),""))))</f>
        <v/>
      </c>
      <c r="AC275" s="19" t="str">
        <f aca="false">IF(AND(ISNUMBER(Q275),ISNUMBER(R275)),ROUND(R275-Q275,2),"")</f>
        <v/>
      </c>
      <c r="AD275" s="19" t="str">
        <f aca="false">IF(AND(ISNUMBER(AB275),ISNUMBER(Z275)),AB275-Z275,"")</f>
        <v/>
      </c>
      <c r="AE275" s="19"/>
      <c r="AF275" s="19"/>
      <c r="AG275" s="22"/>
      <c r="AH275" s="23"/>
      <c r="AI275" s="23"/>
      <c r="AJ275" s="23"/>
      <c r="AK275" s="23"/>
      <c r="AL275" s="23"/>
      <c r="AM275" s="23"/>
      <c r="AN275" s="23"/>
      <c r="AO275" s="23"/>
      <c r="AP275" s="23"/>
      <c r="AQ275" s="23"/>
      <c r="AR275" s="23"/>
      <c r="AS275" s="23"/>
      <c r="AT275" s="23"/>
      <c r="AU275" s="23"/>
      <c r="AV275" s="23"/>
      <c r="AW275" s="23"/>
      <c r="AX275" s="23"/>
      <c r="AY275" s="23"/>
      <c r="AZ275" s="23"/>
      <c r="BA275" s="23"/>
      <c r="BB275" s="23"/>
      <c r="BC275" s="23"/>
      <c r="BD275" s="23"/>
      <c r="BE275" s="23"/>
      <c r="BF275" s="23"/>
      <c r="BG275" s="24"/>
      <c r="BH275" s="23"/>
      <c r="BI275" s="23"/>
      <c r="BJ275" s="19"/>
      <c r="BK275" s="19"/>
      <c r="BL275" s="19"/>
      <c r="BM275" s="19"/>
      <c r="BN275" s="23"/>
      <c r="BO275" s="23"/>
      <c r="BP275" s="19"/>
      <c r="BQ275" s="19"/>
      <c r="BR275" s="19"/>
      <c r="BS275" s="23"/>
    </row>
    <row r="276" customFormat="false" ht="15" hidden="false" customHeight="false" outlineLevel="0" collapsed="false">
      <c r="A276" s="19"/>
      <c r="B276" s="19"/>
      <c r="C276" s="19"/>
      <c r="D276" s="19"/>
      <c r="E276" s="19"/>
      <c r="F276" s="19"/>
      <c r="G276" s="19"/>
      <c r="H276" s="20"/>
      <c r="I276" s="19"/>
      <c r="J276" s="19"/>
      <c r="K276" s="19"/>
      <c r="L276" s="21"/>
      <c r="M276" s="21"/>
      <c r="N276" s="21"/>
      <c r="O276" s="21"/>
      <c r="P276" s="21"/>
      <c r="Q276" s="21"/>
      <c r="R276" s="21"/>
      <c r="S276" s="19"/>
      <c r="T276" s="19"/>
      <c r="U276" s="19"/>
      <c r="V276" s="19"/>
      <c r="W276" s="19"/>
      <c r="X276" s="19"/>
      <c r="Y276" s="19"/>
      <c r="Z276" s="19"/>
      <c r="AA276" s="19"/>
      <c r="AB276" s="19" t="str">
        <f aca="false">IF(NOT(ISNUMBER(Q276)),"",IF(E276="organizer_case",IF(ISNUMBER(P276),ROUND((Q276-P276)*86400,0),""),IF(J276="ADVANCE",IF(ISNUMBER(O276),ROUND((Q276-MAX(O276,N276))*86400,0),""),IF(ISNUMBER(O276),ROUND((Q276-O276)*86400,0),""))))</f>
        <v/>
      </c>
      <c r="AC276" s="19" t="str">
        <f aca="false">IF(AND(ISNUMBER(Q276),ISNUMBER(R276)),ROUND(R276-Q276,2),"")</f>
        <v/>
      </c>
      <c r="AD276" s="19" t="str">
        <f aca="false">IF(AND(ISNUMBER(AB276),ISNUMBER(Z276)),AB276-Z276,"")</f>
        <v/>
      </c>
      <c r="AE276" s="19"/>
      <c r="AF276" s="19"/>
      <c r="AG276" s="22"/>
      <c r="AH276" s="23"/>
      <c r="AI276" s="23"/>
      <c r="AJ276" s="23"/>
      <c r="AK276" s="23"/>
      <c r="AL276" s="23"/>
      <c r="AM276" s="23"/>
      <c r="AN276" s="23"/>
      <c r="AO276" s="23"/>
      <c r="AP276" s="23"/>
      <c r="AQ276" s="23"/>
      <c r="AR276" s="23"/>
      <c r="AS276" s="23"/>
      <c r="AT276" s="23"/>
      <c r="AU276" s="23"/>
      <c r="AV276" s="23"/>
      <c r="AW276" s="23"/>
      <c r="AX276" s="23"/>
      <c r="AY276" s="23"/>
      <c r="AZ276" s="23"/>
      <c r="BA276" s="23"/>
      <c r="BB276" s="23"/>
      <c r="BC276" s="23"/>
      <c r="BD276" s="23"/>
      <c r="BE276" s="23"/>
      <c r="BF276" s="23"/>
      <c r="BG276" s="24"/>
      <c r="BH276" s="23"/>
      <c r="BI276" s="23"/>
      <c r="BJ276" s="19"/>
      <c r="BK276" s="19"/>
      <c r="BL276" s="19"/>
      <c r="BM276" s="19"/>
      <c r="BN276" s="23"/>
      <c r="BO276" s="23"/>
      <c r="BP276" s="19"/>
      <c r="BQ276" s="19"/>
      <c r="BR276" s="19"/>
      <c r="BS276" s="23"/>
    </row>
    <row r="277" customFormat="false" ht="15" hidden="false" customHeight="false" outlineLevel="0" collapsed="false">
      <c r="A277" s="19"/>
      <c r="B277" s="19"/>
      <c r="C277" s="19"/>
      <c r="D277" s="19"/>
      <c r="E277" s="19"/>
      <c r="F277" s="19"/>
      <c r="G277" s="19"/>
      <c r="H277" s="20"/>
      <c r="I277" s="19"/>
      <c r="J277" s="19"/>
      <c r="K277" s="19"/>
      <c r="L277" s="21"/>
      <c r="M277" s="21"/>
      <c r="N277" s="21"/>
      <c r="O277" s="21"/>
      <c r="P277" s="21"/>
      <c r="Q277" s="21"/>
      <c r="R277" s="21"/>
      <c r="S277" s="19"/>
      <c r="T277" s="19"/>
      <c r="U277" s="19"/>
      <c r="V277" s="19"/>
      <c r="W277" s="19"/>
      <c r="X277" s="19"/>
      <c r="Y277" s="19"/>
      <c r="Z277" s="19"/>
      <c r="AA277" s="19"/>
      <c r="AB277" s="19" t="str">
        <f aca="false">IF(NOT(ISNUMBER(Q277)),"",IF(E277="organizer_case",IF(ISNUMBER(P277),ROUND((Q277-P277)*86400,0),""),IF(J277="ADVANCE",IF(ISNUMBER(O277),ROUND((Q277-MAX(O277,N277))*86400,0),""),IF(ISNUMBER(O277),ROUND((Q277-O277)*86400,0),""))))</f>
        <v/>
      </c>
      <c r="AC277" s="19" t="str">
        <f aca="false">IF(AND(ISNUMBER(Q277),ISNUMBER(R277)),ROUND(R277-Q277,2),"")</f>
        <v/>
      </c>
      <c r="AD277" s="19" t="str">
        <f aca="false">IF(AND(ISNUMBER(AB277),ISNUMBER(Z277)),AB277-Z277,"")</f>
        <v/>
      </c>
      <c r="AE277" s="19"/>
      <c r="AF277" s="19"/>
      <c r="AG277" s="22"/>
      <c r="AH277" s="23"/>
      <c r="AI277" s="23"/>
      <c r="AJ277" s="23"/>
      <c r="AK277" s="23"/>
      <c r="AL277" s="23"/>
      <c r="AM277" s="23"/>
      <c r="AN277" s="23"/>
      <c r="AO277" s="23"/>
      <c r="AP277" s="23"/>
      <c r="AQ277" s="23"/>
      <c r="AR277" s="23"/>
      <c r="AS277" s="23"/>
      <c r="AT277" s="23"/>
      <c r="AU277" s="23"/>
      <c r="AV277" s="23"/>
      <c r="AW277" s="23"/>
      <c r="AX277" s="23"/>
      <c r="AY277" s="23"/>
      <c r="AZ277" s="23"/>
      <c r="BA277" s="23"/>
      <c r="BB277" s="23"/>
      <c r="BC277" s="23"/>
      <c r="BD277" s="23"/>
      <c r="BE277" s="23"/>
      <c r="BF277" s="23"/>
      <c r="BG277" s="24"/>
      <c r="BH277" s="23"/>
      <c r="BI277" s="23"/>
      <c r="BJ277" s="19"/>
      <c r="BK277" s="19"/>
      <c r="BL277" s="19"/>
      <c r="BM277" s="19"/>
      <c r="BN277" s="23"/>
      <c r="BO277" s="23"/>
      <c r="BP277" s="19"/>
      <c r="BQ277" s="19"/>
      <c r="BR277" s="19"/>
      <c r="BS277" s="23"/>
    </row>
    <row r="278" customFormat="false" ht="15" hidden="false" customHeight="false" outlineLevel="0" collapsed="false">
      <c r="A278" s="19"/>
      <c r="B278" s="19"/>
      <c r="C278" s="19"/>
      <c r="D278" s="19"/>
      <c r="E278" s="19"/>
      <c r="F278" s="19"/>
      <c r="G278" s="19"/>
      <c r="H278" s="20"/>
      <c r="I278" s="19"/>
      <c r="J278" s="19"/>
      <c r="K278" s="19"/>
      <c r="L278" s="21"/>
      <c r="M278" s="21"/>
      <c r="N278" s="21"/>
      <c r="O278" s="21"/>
      <c r="P278" s="21"/>
      <c r="Q278" s="21"/>
      <c r="R278" s="21"/>
      <c r="S278" s="19"/>
      <c r="T278" s="19"/>
      <c r="U278" s="19"/>
      <c r="V278" s="19"/>
      <c r="W278" s="19"/>
      <c r="X278" s="19"/>
      <c r="Y278" s="19"/>
      <c r="Z278" s="19"/>
      <c r="AA278" s="19"/>
      <c r="AB278" s="19" t="str">
        <f aca="false">IF(NOT(ISNUMBER(Q278)),"",IF(E278="organizer_case",IF(ISNUMBER(P278),ROUND((Q278-P278)*86400,0),""),IF(J278="ADVANCE",IF(ISNUMBER(O278),ROUND((Q278-MAX(O278,N278))*86400,0),""),IF(ISNUMBER(O278),ROUND((Q278-O278)*86400,0),""))))</f>
        <v/>
      </c>
      <c r="AC278" s="19" t="str">
        <f aca="false">IF(AND(ISNUMBER(Q278),ISNUMBER(R278)),ROUND(R278-Q278,2),"")</f>
        <v/>
      </c>
      <c r="AD278" s="19" t="str">
        <f aca="false">IF(AND(ISNUMBER(AB278),ISNUMBER(Z278)),AB278-Z278,"")</f>
        <v/>
      </c>
      <c r="AE278" s="19"/>
      <c r="AF278" s="19"/>
      <c r="AG278" s="22"/>
      <c r="AH278" s="23"/>
      <c r="AI278" s="23"/>
      <c r="AJ278" s="23"/>
      <c r="AK278" s="23"/>
      <c r="AL278" s="23"/>
      <c r="AM278" s="23"/>
      <c r="AN278" s="23"/>
      <c r="AO278" s="23"/>
      <c r="AP278" s="23"/>
      <c r="AQ278" s="23"/>
      <c r="AR278" s="23"/>
      <c r="AS278" s="23"/>
      <c r="AT278" s="23"/>
      <c r="AU278" s="23"/>
      <c r="AV278" s="23"/>
      <c r="AW278" s="23"/>
      <c r="AX278" s="23"/>
      <c r="AY278" s="23"/>
      <c r="AZ278" s="23"/>
      <c r="BA278" s="23"/>
      <c r="BB278" s="23"/>
      <c r="BC278" s="23"/>
      <c r="BD278" s="23"/>
      <c r="BE278" s="23"/>
      <c r="BF278" s="23"/>
      <c r="BG278" s="24"/>
      <c r="BH278" s="23"/>
      <c r="BI278" s="23"/>
      <c r="BJ278" s="19"/>
      <c r="BK278" s="19"/>
      <c r="BL278" s="19"/>
      <c r="BM278" s="19"/>
      <c r="BN278" s="23"/>
      <c r="BO278" s="23"/>
      <c r="BP278" s="19"/>
      <c r="BQ278" s="19"/>
      <c r="BR278" s="19"/>
      <c r="BS278" s="23"/>
    </row>
    <row r="279" customFormat="false" ht="15" hidden="false" customHeight="false" outlineLevel="0" collapsed="false">
      <c r="A279" s="19"/>
      <c r="B279" s="19"/>
      <c r="C279" s="19"/>
      <c r="D279" s="19"/>
      <c r="E279" s="19"/>
      <c r="F279" s="19"/>
      <c r="G279" s="19"/>
      <c r="H279" s="20"/>
      <c r="I279" s="19"/>
      <c r="J279" s="19"/>
      <c r="K279" s="19"/>
      <c r="L279" s="21"/>
      <c r="M279" s="21"/>
      <c r="N279" s="21"/>
      <c r="O279" s="21"/>
      <c r="P279" s="21"/>
      <c r="Q279" s="21"/>
      <c r="R279" s="21"/>
      <c r="S279" s="19"/>
      <c r="T279" s="19"/>
      <c r="U279" s="19"/>
      <c r="V279" s="19"/>
      <c r="W279" s="19"/>
      <c r="X279" s="19"/>
      <c r="Y279" s="19"/>
      <c r="Z279" s="19"/>
      <c r="AA279" s="19"/>
      <c r="AB279" s="19" t="str">
        <f aca="false">IF(NOT(ISNUMBER(Q279)),"",IF(E279="organizer_case",IF(ISNUMBER(P279),ROUND((Q279-P279)*86400,0),""),IF(J279="ADVANCE",IF(ISNUMBER(O279),ROUND((Q279-MAX(O279,N279))*86400,0),""),IF(ISNUMBER(O279),ROUND((Q279-O279)*86400,0),""))))</f>
        <v/>
      </c>
      <c r="AC279" s="19" t="str">
        <f aca="false">IF(AND(ISNUMBER(Q279),ISNUMBER(R279)),ROUND(R279-Q279,2),"")</f>
        <v/>
      </c>
      <c r="AD279" s="19" t="str">
        <f aca="false">IF(AND(ISNUMBER(AB279),ISNUMBER(Z279)),AB279-Z279,"")</f>
        <v/>
      </c>
      <c r="AE279" s="19"/>
      <c r="AF279" s="19"/>
      <c r="AG279" s="22"/>
      <c r="AH279" s="23"/>
      <c r="AI279" s="23"/>
      <c r="AJ279" s="23"/>
      <c r="AK279" s="23"/>
      <c r="AL279" s="23"/>
      <c r="AM279" s="23"/>
      <c r="AN279" s="23"/>
      <c r="AO279" s="23"/>
      <c r="AP279" s="23"/>
      <c r="AQ279" s="23"/>
      <c r="AR279" s="23"/>
      <c r="AS279" s="23"/>
      <c r="AT279" s="23"/>
      <c r="AU279" s="23"/>
      <c r="AV279" s="23"/>
      <c r="AW279" s="23"/>
      <c r="AX279" s="23"/>
      <c r="AY279" s="23"/>
      <c r="AZ279" s="23"/>
      <c r="BA279" s="23"/>
      <c r="BB279" s="23"/>
      <c r="BC279" s="23"/>
      <c r="BD279" s="23"/>
      <c r="BE279" s="23"/>
      <c r="BF279" s="23"/>
      <c r="BG279" s="24"/>
      <c r="BH279" s="23"/>
      <c r="BI279" s="23"/>
      <c r="BJ279" s="19"/>
      <c r="BK279" s="19"/>
      <c r="BL279" s="19"/>
      <c r="BM279" s="19"/>
      <c r="BN279" s="23"/>
      <c r="BO279" s="23"/>
      <c r="BP279" s="19"/>
      <c r="BQ279" s="19"/>
      <c r="BR279" s="19"/>
      <c r="BS279" s="23"/>
    </row>
    <row r="280" customFormat="false" ht="15" hidden="false" customHeight="false" outlineLevel="0" collapsed="false">
      <c r="A280" s="19"/>
      <c r="B280" s="19"/>
      <c r="C280" s="19"/>
      <c r="D280" s="19"/>
      <c r="E280" s="19"/>
      <c r="F280" s="19"/>
      <c r="G280" s="19"/>
      <c r="H280" s="20"/>
      <c r="I280" s="19"/>
      <c r="J280" s="19"/>
      <c r="K280" s="19"/>
      <c r="L280" s="21"/>
      <c r="M280" s="21"/>
      <c r="N280" s="21"/>
      <c r="O280" s="21"/>
      <c r="P280" s="21"/>
      <c r="Q280" s="21"/>
      <c r="R280" s="21"/>
      <c r="S280" s="19"/>
      <c r="T280" s="19"/>
      <c r="U280" s="19"/>
      <c r="V280" s="19"/>
      <c r="W280" s="19"/>
      <c r="X280" s="19"/>
      <c r="Y280" s="19"/>
      <c r="Z280" s="19"/>
      <c r="AA280" s="19"/>
      <c r="AB280" s="19" t="str">
        <f aca="false">IF(NOT(ISNUMBER(Q280)),"",IF(E280="organizer_case",IF(ISNUMBER(P280),ROUND((Q280-P280)*86400,0),""),IF(J280="ADVANCE",IF(ISNUMBER(O280),ROUND((Q280-MAX(O280,N280))*86400,0),""),IF(ISNUMBER(O280),ROUND((Q280-O280)*86400,0),""))))</f>
        <v/>
      </c>
      <c r="AC280" s="19" t="str">
        <f aca="false">IF(AND(ISNUMBER(Q280),ISNUMBER(R280)),ROUND(R280-Q280,2),"")</f>
        <v/>
      </c>
      <c r="AD280" s="19" t="str">
        <f aca="false">IF(AND(ISNUMBER(AB280),ISNUMBER(Z280)),AB280-Z280,"")</f>
        <v/>
      </c>
      <c r="AE280" s="19"/>
      <c r="AF280" s="19"/>
      <c r="AG280" s="22"/>
      <c r="AH280" s="23"/>
      <c r="AI280" s="23"/>
      <c r="AJ280" s="23"/>
      <c r="AK280" s="23"/>
      <c r="AL280" s="23"/>
      <c r="AM280" s="23"/>
      <c r="AN280" s="23"/>
      <c r="AO280" s="23"/>
      <c r="AP280" s="23"/>
      <c r="AQ280" s="23"/>
      <c r="AR280" s="23"/>
      <c r="AS280" s="23"/>
      <c r="AT280" s="23"/>
      <c r="AU280" s="23"/>
      <c r="AV280" s="23"/>
      <c r="AW280" s="23"/>
      <c r="AX280" s="23"/>
      <c r="AY280" s="23"/>
      <c r="AZ280" s="23"/>
      <c r="BA280" s="23"/>
      <c r="BB280" s="23"/>
      <c r="BC280" s="23"/>
      <c r="BD280" s="23"/>
      <c r="BE280" s="23"/>
      <c r="BF280" s="23"/>
      <c r="BG280" s="24"/>
      <c r="BH280" s="23"/>
      <c r="BI280" s="23"/>
      <c r="BJ280" s="19"/>
      <c r="BK280" s="19"/>
      <c r="BL280" s="19"/>
      <c r="BM280" s="19"/>
      <c r="BN280" s="23"/>
      <c r="BO280" s="23"/>
      <c r="BP280" s="19"/>
      <c r="BQ280" s="19"/>
      <c r="BR280" s="19"/>
      <c r="BS280" s="23"/>
    </row>
    <row r="281" customFormat="false" ht="15" hidden="false" customHeight="false" outlineLevel="0" collapsed="false">
      <c r="A281" s="19"/>
      <c r="B281" s="19"/>
      <c r="C281" s="19"/>
      <c r="D281" s="19"/>
      <c r="E281" s="19"/>
      <c r="F281" s="19"/>
      <c r="G281" s="19"/>
      <c r="H281" s="20"/>
      <c r="I281" s="19"/>
      <c r="J281" s="19"/>
      <c r="K281" s="19"/>
      <c r="L281" s="21"/>
      <c r="M281" s="21"/>
      <c r="N281" s="21"/>
      <c r="O281" s="21"/>
      <c r="P281" s="21"/>
      <c r="Q281" s="21"/>
      <c r="R281" s="21"/>
      <c r="S281" s="19"/>
      <c r="T281" s="19"/>
      <c r="U281" s="19"/>
      <c r="V281" s="19"/>
      <c r="W281" s="19"/>
      <c r="X281" s="19"/>
      <c r="Y281" s="19"/>
      <c r="Z281" s="19"/>
      <c r="AA281" s="19"/>
      <c r="AB281" s="19" t="str">
        <f aca="false">IF(NOT(ISNUMBER(Q281)),"",IF(E281="organizer_case",IF(ISNUMBER(P281),ROUND((Q281-P281)*86400,0),""),IF(J281="ADVANCE",IF(ISNUMBER(O281),ROUND((Q281-MAX(O281,N281))*86400,0),""),IF(ISNUMBER(O281),ROUND((Q281-O281)*86400,0),""))))</f>
        <v/>
      </c>
      <c r="AC281" s="19" t="str">
        <f aca="false">IF(AND(ISNUMBER(Q281),ISNUMBER(R281)),ROUND(R281-Q281,2),"")</f>
        <v/>
      </c>
      <c r="AD281" s="19" t="str">
        <f aca="false">IF(AND(ISNUMBER(AB281),ISNUMBER(Z281)),AB281-Z281,"")</f>
        <v/>
      </c>
      <c r="AE281" s="19"/>
      <c r="AF281" s="19"/>
      <c r="AG281" s="22"/>
      <c r="AH281" s="23"/>
      <c r="AI281" s="23"/>
      <c r="AJ281" s="23"/>
      <c r="AK281" s="23"/>
      <c r="AL281" s="23"/>
      <c r="AM281" s="23"/>
      <c r="AN281" s="23"/>
      <c r="AO281" s="23"/>
      <c r="AP281" s="23"/>
      <c r="AQ281" s="23"/>
      <c r="AR281" s="23"/>
      <c r="AS281" s="23"/>
      <c r="AT281" s="23"/>
      <c r="AU281" s="23"/>
      <c r="AV281" s="23"/>
      <c r="AW281" s="23"/>
      <c r="AX281" s="23"/>
      <c r="AY281" s="23"/>
      <c r="AZ281" s="23"/>
      <c r="BA281" s="23"/>
      <c r="BB281" s="23"/>
      <c r="BC281" s="23"/>
      <c r="BD281" s="23"/>
      <c r="BE281" s="23"/>
      <c r="BF281" s="23"/>
      <c r="BG281" s="24"/>
      <c r="BH281" s="23"/>
      <c r="BI281" s="23"/>
      <c r="BJ281" s="19"/>
      <c r="BK281" s="19"/>
      <c r="BL281" s="19"/>
      <c r="BM281" s="19"/>
      <c r="BN281" s="23"/>
      <c r="BO281" s="23"/>
      <c r="BP281" s="19"/>
      <c r="BQ281" s="19"/>
      <c r="BR281" s="19"/>
      <c r="BS281" s="23"/>
    </row>
    <row r="282" customFormat="false" ht="15" hidden="false" customHeight="false" outlineLevel="0" collapsed="false">
      <c r="A282" s="19"/>
      <c r="B282" s="19"/>
      <c r="C282" s="19"/>
      <c r="D282" s="19"/>
      <c r="E282" s="19"/>
      <c r="F282" s="19"/>
      <c r="G282" s="19"/>
      <c r="H282" s="20"/>
      <c r="I282" s="19"/>
      <c r="J282" s="19"/>
      <c r="K282" s="19"/>
      <c r="L282" s="21"/>
      <c r="M282" s="21"/>
      <c r="N282" s="21"/>
      <c r="O282" s="21"/>
      <c r="P282" s="21"/>
      <c r="Q282" s="21"/>
      <c r="R282" s="21"/>
      <c r="S282" s="19"/>
      <c r="T282" s="19"/>
      <c r="U282" s="19"/>
      <c r="V282" s="19"/>
      <c r="W282" s="19"/>
      <c r="X282" s="19"/>
      <c r="Y282" s="19"/>
      <c r="Z282" s="19"/>
      <c r="AA282" s="19"/>
      <c r="AB282" s="19" t="str">
        <f aca="false">IF(NOT(ISNUMBER(Q282)),"",IF(E282="organizer_case",IF(ISNUMBER(P282),ROUND((Q282-P282)*86400,0),""),IF(J282="ADVANCE",IF(ISNUMBER(O282),ROUND((Q282-MAX(O282,N282))*86400,0),""),IF(ISNUMBER(O282),ROUND((Q282-O282)*86400,0),""))))</f>
        <v/>
      </c>
      <c r="AC282" s="19" t="str">
        <f aca="false">IF(AND(ISNUMBER(Q282),ISNUMBER(R282)),ROUND(R282-Q282,2),"")</f>
        <v/>
      </c>
      <c r="AD282" s="19" t="str">
        <f aca="false">IF(AND(ISNUMBER(AB282),ISNUMBER(Z282)),AB282-Z282,"")</f>
        <v/>
      </c>
      <c r="AE282" s="19"/>
      <c r="AF282" s="19"/>
      <c r="AG282" s="22"/>
      <c r="AH282" s="23"/>
      <c r="AI282" s="23"/>
      <c r="AJ282" s="23"/>
      <c r="AK282" s="23"/>
      <c r="AL282" s="23"/>
      <c r="AM282" s="23"/>
      <c r="AN282" s="23"/>
      <c r="AO282" s="23"/>
      <c r="AP282" s="23"/>
      <c r="AQ282" s="23"/>
      <c r="AR282" s="23"/>
      <c r="AS282" s="23"/>
      <c r="AT282" s="23"/>
      <c r="AU282" s="23"/>
      <c r="AV282" s="23"/>
      <c r="AW282" s="23"/>
      <c r="AX282" s="23"/>
      <c r="AY282" s="23"/>
      <c r="AZ282" s="23"/>
      <c r="BA282" s="23"/>
      <c r="BB282" s="23"/>
      <c r="BC282" s="23"/>
      <c r="BD282" s="23"/>
      <c r="BE282" s="23"/>
      <c r="BF282" s="23"/>
      <c r="BG282" s="24"/>
      <c r="BH282" s="23"/>
      <c r="BI282" s="23"/>
      <c r="BJ282" s="19"/>
      <c r="BK282" s="19"/>
      <c r="BL282" s="19"/>
      <c r="BM282" s="19"/>
      <c r="BN282" s="23"/>
      <c r="BO282" s="23"/>
      <c r="BP282" s="19"/>
      <c r="BQ282" s="19"/>
      <c r="BR282" s="19"/>
      <c r="BS282" s="23"/>
    </row>
    <row r="283" customFormat="false" ht="15" hidden="false" customHeight="false" outlineLevel="0" collapsed="false">
      <c r="A283" s="19"/>
      <c r="B283" s="19"/>
      <c r="C283" s="19"/>
      <c r="D283" s="19"/>
      <c r="E283" s="19"/>
      <c r="F283" s="19"/>
      <c r="G283" s="19"/>
      <c r="H283" s="20"/>
      <c r="I283" s="19"/>
      <c r="J283" s="19"/>
      <c r="K283" s="19"/>
      <c r="L283" s="21"/>
      <c r="M283" s="21"/>
      <c r="N283" s="21"/>
      <c r="O283" s="21"/>
      <c r="P283" s="21"/>
      <c r="Q283" s="21"/>
      <c r="R283" s="21"/>
      <c r="S283" s="19"/>
      <c r="T283" s="19"/>
      <c r="U283" s="19"/>
      <c r="V283" s="19"/>
      <c r="W283" s="19"/>
      <c r="X283" s="19"/>
      <c r="Y283" s="19"/>
      <c r="Z283" s="19"/>
      <c r="AA283" s="19"/>
      <c r="AB283" s="19" t="str">
        <f aca="false">IF(NOT(ISNUMBER(Q283)),"",IF(E283="organizer_case",IF(ISNUMBER(P283),ROUND((Q283-P283)*86400,0),""),IF(J283="ADVANCE",IF(ISNUMBER(O283),ROUND((Q283-MAX(O283,N283))*86400,0),""),IF(ISNUMBER(O283),ROUND((Q283-O283)*86400,0),""))))</f>
        <v/>
      </c>
      <c r="AC283" s="19" t="str">
        <f aca="false">IF(AND(ISNUMBER(Q283),ISNUMBER(R283)),ROUND(R283-Q283,2),"")</f>
        <v/>
      </c>
      <c r="AD283" s="19" t="str">
        <f aca="false">IF(AND(ISNUMBER(AB283),ISNUMBER(Z283)),AB283-Z283,"")</f>
        <v/>
      </c>
      <c r="AE283" s="19"/>
      <c r="AF283" s="19"/>
      <c r="AG283" s="22"/>
      <c r="AH283" s="23"/>
      <c r="AI283" s="23"/>
      <c r="AJ283" s="23"/>
      <c r="AK283" s="23"/>
      <c r="AL283" s="23"/>
      <c r="AM283" s="23"/>
      <c r="AN283" s="23"/>
      <c r="AO283" s="23"/>
      <c r="AP283" s="23"/>
      <c r="AQ283" s="23"/>
      <c r="AR283" s="23"/>
      <c r="AS283" s="23"/>
      <c r="AT283" s="23"/>
      <c r="AU283" s="23"/>
      <c r="AV283" s="23"/>
      <c r="AW283" s="23"/>
      <c r="AX283" s="23"/>
      <c r="AY283" s="23"/>
      <c r="AZ283" s="23"/>
      <c r="BA283" s="23"/>
      <c r="BB283" s="23"/>
      <c r="BC283" s="23"/>
      <c r="BD283" s="23"/>
      <c r="BE283" s="23"/>
      <c r="BF283" s="23"/>
      <c r="BG283" s="24"/>
      <c r="BH283" s="23"/>
      <c r="BI283" s="23"/>
      <c r="BJ283" s="19"/>
      <c r="BK283" s="19"/>
      <c r="BL283" s="19"/>
      <c r="BM283" s="19"/>
      <c r="BN283" s="23"/>
      <c r="BO283" s="23"/>
      <c r="BP283" s="19"/>
      <c r="BQ283" s="19"/>
      <c r="BR283" s="19"/>
      <c r="BS283" s="23"/>
    </row>
    <row r="284" customFormat="false" ht="15" hidden="false" customHeight="false" outlineLevel="0" collapsed="false">
      <c r="A284" s="19"/>
      <c r="B284" s="19"/>
      <c r="C284" s="19"/>
      <c r="D284" s="19"/>
      <c r="E284" s="19"/>
      <c r="F284" s="19"/>
      <c r="G284" s="19"/>
      <c r="H284" s="20"/>
      <c r="I284" s="19"/>
      <c r="J284" s="19"/>
      <c r="K284" s="19"/>
      <c r="L284" s="21"/>
      <c r="M284" s="21"/>
      <c r="N284" s="21"/>
      <c r="O284" s="21"/>
      <c r="P284" s="21"/>
      <c r="Q284" s="21"/>
      <c r="R284" s="21"/>
      <c r="S284" s="19"/>
      <c r="T284" s="19"/>
      <c r="U284" s="19"/>
      <c r="V284" s="19"/>
      <c r="W284" s="19"/>
      <c r="X284" s="19"/>
      <c r="Y284" s="19"/>
      <c r="Z284" s="19"/>
      <c r="AA284" s="19"/>
      <c r="AB284" s="19" t="str">
        <f aca="false">IF(NOT(ISNUMBER(Q284)),"",IF(E284="organizer_case",IF(ISNUMBER(P284),ROUND((Q284-P284)*86400,0),""),IF(J284="ADVANCE",IF(ISNUMBER(O284),ROUND((Q284-MAX(O284,N284))*86400,0),""),IF(ISNUMBER(O284),ROUND((Q284-O284)*86400,0),""))))</f>
        <v/>
      </c>
      <c r="AC284" s="19" t="str">
        <f aca="false">IF(AND(ISNUMBER(Q284),ISNUMBER(R284)),ROUND(R284-Q284,2),"")</f>
        <v/>
      </c>
      <c r="AD284" s="19" t="str">
        <f aca="false">IF(AND(ISNUMBER(AB284),ISNUMBER(Z284)),AB284-Z284,"")</f>
        <v/>
      </c>
      <c r="AE284" s="19"/>
      <c r="AF284" s="19"/>
      <c r="AG284" s="22"/>
      <c r="AH284" s="23"/>
      <c r="AI284" s="23"/>
      <c r="AJ284" s="23"/>
      <c r="AK284" s="23"/>
      <c r="AL284" s="23"/>
      <c r="AM284" s="23"/>
      <c r="AN284" s="23"/>
      <c r="AO284" s="23"/>
      <c r="AP284" s="23"/>
      <c r="AQ284" s="23"/>
      <c r="AR284" s="23"/>
      <c r="AS284" s="23"/>
      <c r="AT284" s="23"/>
      <c r="AU284" s="23"/>
      <c r="AV284" s="23"/>
      <c r="AW284" s="23"/>
      <c r="AX284" s="23"/>
      <c r="AY284" s="23"/>
      <c r="AZ284" s="23"/>
      <c r="BA284" s="23"/>
      <c r="BB284" s="23"/>
      <c r="BC284" s="23"/>
      <c r="BD284" s="23"/>
      <c r="BE284" s="23"/>
      <c r="BF284" s="23"/>
      <c r="BG284" s="24"/>
      <c r="BH284" s="23"/>
      <c r="BI284" s="23"/>
      <c r="BJ284" s="19"/>
      <c r="BK284" s="19"/>
      <c r="BL284" s="19"/>
      <c r="BM284" s="19"/>
      <c r="BN284" s="23"/>
      <c r="BO284" s="23"/>
      <c r="BP284" s="19"/>
      <c r="BQ284" s="19"/>
      <c r="BR284" s="19"/>
      <c r="BS284" s="23"/>
    </row>
    <row r="285" customFormat="false" ht="15" hidden="false" customHeight="false" outlineLevel="0" collapsed="false">
      <c r="A285" s="19"/>
      <c r="B285" s="19"/>
      <c r="C285" s="19"/>
      <c r="D285" s="19"/>
      <c r="E285" s="19"/>
      <c r="F285" s="19"/>
      <c r="G285" s="19"/>
      <c r="H285" s="20"/>
      <c r="I285" s="19"/>
      <c r="J285" s="19"/>
      <c r="K285" s="19"/>
      <c r="L285" s="21"/>
      <c r="M285" s="21"/>
      <c r="N285" s="21"/>
      <c r="O285" s="21"/>
      <c r="P285" s="21"/>
      <c r="Q285" s="21"/>
      <c r="R285" s="21"/>
      <c r="S285" s="19"/>
      <c r="T285" s="19"/>
      <c r="U285" s="19"/>
      <c r="V285" s="19"/>
      <c r="W285" s="19"/>
      <c r="X285" s="19"/>
      <c r="Y285" s="19"/>
      <c r="Z285" s="19"/>
      <c r="AA285" s="19"/>
      <c r="AB285" s="19" t="str">
        <f aca="false">IF(NOT(ISNUMBER(Q285)),"",IF(E285="organizer_case",IF(ISNUMBER(P285),ROUND((Q285-P285)*86400,0),""),IF(J285="ADVANCE",IF(ISNUMBER(O285),ROUND((Q285-MAX(O285,N285))*86400,0),""),IF(ISNUMBER(O285),ROUND((Q285-O285)*86400,0),""))))</f>
        <v/>
      </c>
      <c r="AC285" s="19" t="str">
        <f aca="false">IF(AND(ISNUMBER(Q285),ISNUMBER(R285)),ROUND(R285-Q285,2),"")</f>
        <v/>
      </c>
      <c r="AD285" s="19" t="str">
        <f aca="false">IF(AND(ISNUMBER(AB285),ISNUMBER(Z285)),AB285-Z285,"")</f>
        <v/>
      </c>
      <c r="AE285" s="19"/>
      <c r="AF285" s="19"/>
      <c r="AG285" s="22"/>
      <c r="AH285" s="23"/>
      <c r="AI285" s="23"/>
      <c r="AJ285" s="23"/>
      <c r="AK285" s="23"/>
      <c r="AL285" s="23"/>
      <c r="AM285" s="23"/>
      <c r="AN285" s="23"/>
      <c r="AO285" s="23"/>
      <c r="AP285" s="23"/>
      <c r="AQ285" s="23"/>
      <c r="AR285" s="23"/>
      <c r="AS285" s="23"/>
      <c r="AT285" s="23"/>
      <c r="AU285" s="23"/>
      <c r="AV285" s="23"/>
      <c r="AW285" s="23"/>
      <c r="AX285" s="23"/>
      <c r="AY285" s="23"/>
      <c r="AZ285" s="23"/>
      <c r="BA285" s="23"/>
      <c r="BB285" s="23"/>
      <c r="BC285" s="23"/>
      <c r="BD285" s="23"/>
      <c r="BE285" s="23"/>
      <c r="BF285" s="23"/>
      <c r="BG285" s="24"/>
      <c r="BH285" s="23"/>
      <c r="BI285" s="23"/>
      <c r="BJ285" s="19"/>
      <c r="BK285" s="19"/>
      <c r="BL285" s="19"/>
      <c r="BM285" s="19"/>
      <c r="BN285" s="23"/>
      <c r="BO285" s="23"/>
      <c r="BP285" s="19"/>
      <c r="BQ285" s="19"/>
      <c r="BR285" s="19"/>
      <c r="BS285" s="23"/>
    </row>
    <row r="286" customFormat="false" ht="15" hidden="false" customHeight="false" outlineLevel="0" collapsed="false">
      <c r="A286" s="19"/>
      <c r="B286" s="19"/>
      <c r="C286" s="19"/>
      <c r="D286" s="19"/>
      <c r="E286" s="19"/>
      <c r="F286" s="19"/>
      <c r="G286" s="19"/>
      <c r="H286" s="20"/>
      <c r="I286" s="19"/>
      <c r="J286" s="19"/>
      <c r="K286" s="19"/>
      <c r="L286" s="21"/>
      <c r="M286" s="21"/>
      <c r="N286" s="21"/>
      <c r="O286" s="21"/>
      <c r="P286" s="21"/>
      <c r="Q286" s="21"/>
      <c r="R286" s="21"/>
      <c r="S286" s="19"/>
      <c r="T286" s="19"/>
      <c r="U286" s="19"/>
      <c r="V286" s="19"/>
      <c r="W286" s="19"/>
      <c r="X286" s="19"/>
      <c r="Y286" s="19"/>
      <c r="Z286" s="19"/>
      <c r="AA286" s="19"/>
      <c r="AB286" s="19" t="str">
        <f aca="false">IF(NOT(ISNUMBER(Q286)),"",IF(E286="organizer_case",IF(ISNUMBER(P286),ROUND((Q286-P286)*86400,0),""),IF(J286="ADVANCE",IF(ISNUMBER(O286),ROUND((Q286-MAX(O286,N286))*86400,0),""),IF(ISNUMBER(O286),ROUND((Q286-O286)*86400,0),""))))</f>
        <v/>
      </c>
      <c r="AC286" s="19" t="str">
        <f aca="false">IF(AND(ISNUMBER(Q286),ISNUMBER(R286)),ROUND(R286-Q286,2),"")</f>
        <v/>
      </c>
      <c r="AD286" s="19" t="str">
        <f aca="false">IF(AND(ISNUMBER(AB286),ISNUMBER(Z286)),AB286-Z286,"")</f>
        <v/>
      </c>
      <c r="AE286" s="19"/>
      <c r="AF286" s="19"/>
      <c r="AG286" s="22"/>
      <c r="AH286" s="23"/>
      <c r="AI286" s="23"/>
      <c r="AJ286" s="23"/>
      <c r="AK286" s="23"/>
      <c r="AL286" s="23"/>
      <c r="AM286" s="23"/>
      <c r="AN286" s="23"/>
      <c r="AO286" s="23"/>
      <c r="AP286" s="23"/>
      <c r="AQ286" s="23"/>
      <c r="AR286" s="23"/>
      <c r="AS286" s="23"/>
      <c r="AT286" s="23"/>
      <c r="AU286" s="23"/>
      <c r="AV286" s="23"/>
      <c r="AW286" s="23"/>
      <c r="AX286" s="23"/>
      <c r="AY286" s="23"/>
      <c r="AZ286" s="23"/>
      <c r="BA286" s="23"/>
      <c r="BB286" s="23"/>
      <c r="BC286" s="23"/>
      <c r="BD286" s="23"/>
      <c r="BE286" s="23"/>
      <c r="BF286" s="23"/>
      <c r="BG286" s="24"/>
      <c r="BH286" s="23"/>
      <c r="BI286" s="23"/>
      <c r="BJ286" s="19"/>
      <c r="BK286" s="19"/>
      <c r="BL286" s="19"/>
      <c r="BM286" s="19"/>
      <c r="BN286" s="23"/>
      <c r="BO286" s="23"/>
      <c r="BP286" s="19"/>
      <c r="BQ286" s="19"/>
      <c r="BR286" s="19"/>
      <c r="BS286" s="23"/>
    </row>
    <row r="287" customFormat="false" ht="15" hidden="false" customHeight="false" outlineLevel="0" collapsed="false">
      <c r="A287" s="19"/>
      <c r="B287" s="19"/>
      <c r="C287" s="19"/>
      <c r="D287" s="19"/>
      <c r="E287" s="19"/>
      <c r="F287" s="19"/>
      <c r="G287" s="19"/>
      <c r="H287" s="20"/>
      <c r="I287" s="19"/>
      <c r="J287" s="19"/>
      <c r="K287" s="19"/>
      <c r="L287" s="21"/>
      <c r="M287" s="21"/>
      <c r="N287" s="21"/>
      <c r="O287" s="21"/>
      <c r="P287" s="21"/>
      <c r="Q287" s="21"/>
      <c r="R287" s="21"/>
      <c r="S287" s="19"/>
      <c r="T287" s="19"/>
      <c r="U287" s="19"/>
      <c r="V287" s="19"/>
      <c r="W287" s="19"/>
      <c r="X287" s="19"/>
      <c r="Y287" s="19"/>
      <c r="Z287" s="19"/>
      <c r="AA287" s="19"/>
      <c r="AB287" s="19" t="str">
        <f aca="false">IF(NOT(ISNUMBER(Q287)),"",IF(E287="organizer_case",IF(ISNUMBER(P287),ROUND((Q287-P287)*86400,0),""),IF(J287="ADVANCE",IF(ISNUMBER(O287),ROUND((Q287-MAX(O287,N287))*86400,0),""),IF(ISNUMBER(O287),ROUND((Q287-O287)*86400,0),""))))</f>
        <v/>
      </c>
      <c r="AC287" s="19" t="str">
        <f aca="false">IF(AND(ISNUMBER(Q287),ISNUMBER(R287)),ROUND(R287-Q287,2),"")</f>
        <v/>
      </c>
      <c r="AD287" s="19" t="str">
        <f aca="false">IF(AND(ISNUMBER(AB287),ISNUMBER(Z287)),AB287-Z287,"")</f>
        <v/>
      </c>
      <c r="AE287" s="19"/>
      <c r="AF287" s="19"/>
      <c r="AG287" s="22"/>
      <c r="AH287" s="23"/>
      <c r="AI287" s="23"/>
      <c r="AJ287" s="23"/>
      <c r="AK287" s="23"/>
      <c r="AL287" s="23"/>
      <c r="AM287" s="23"/>
      <c r="AN287" s="23"/>
      <c r="AO287" s="23"/>
      <c r="AP287" s="23"/>
      <c r="AQ287" s="23"/>
      <c r="AR287" s="23"/>
      <c r="AS287" s="23"/>
      <c r="AT287" s="23"/>
      <c r="AU287" s="23"/>
      <c r="AV287" s="23"/>
      <c r="AW287" s="23"/>
      <c r="AX287" s="23"/>
      <c r="AY287" s="23"/>
      <c r="AZ287" s="23"/>
      <c r="BA287" s="23"/>
      <c r="BB287" s="23"/>
      <c r="BC287" s="23"/>
      <c r="BD287" s="23"/>
      <c r="BE287" s="23"/>
      <c r="BF287" s="23"/>
      <c r="BG287" s="24"/>
      <c r="BH287" s="23"/>
      <c r="BI287" s="23"/>
      <c r="BJ287" s="19"/>
      <c r="BK287" s="19"/>
      <c r="BL287" s="19"/>
      <c r="BM287" s="19"/>
      <c r="BN287" s="23"/>
      <c r="BO287" s="23"/>
      <c r="BP287" s="19"/>
      <c r="BQ287" s="19"/>
      <c r="BR287" s="19"/>
      <c r="BS287" s="23"/>
    </row>
    <row r="288" customFormat="false" ht="15" hidden="false" customHeight="false" outlineLevel="0" collapsed="false">
      <c r="A288" s="19"/>
      <c r="B288" s="19"/>
      <c r="C288" s="19"/>
      <c r="D288" s="19"/>
      <c r="E288" s="19"/>
      <c r="F288" s="19"/>
      <c r="G288" s="19"/>
      <c r="H288" s="20"/>
      <c r="I288" s="19"/>
      <c r="J288" s="19"/>
      <c r="K288" s="19"/>
      <c r="L288" s="21"/>
      <c r="M288" s="21"/>
      <c r="N288" s="21"/>
      <c r="O288" s="21"/>
      <c r="P288" s="21"/>
      <c r="Q288" s="21"/>
      <c r="R288" s="21"/>
      <c r="S288" s="19"/>
      <c r="T288" s="19"/>
      <c r="U288" s="19"/>
      <c r="V288" s="19"/>
      <c r="W288" s="19"/>
      <c r="X288" s="19"/>
      <c r="Y288" s="19"/>
      <c r="Z288" s="19"/>
      <c r="AA288" s="19"/>
      <c r="AB288" s="19" t="str">
        <f aca="false">IF(NOT(ISNUMBER(Q288)),"",IF(E288="organizer_case",IF(ISNUMBER(P288),ROUND((Q288-P288)*86400,0),""),IF(J288="ADVANCE",IF(ISNUMBER(O288),ROUND((Q288-MAX(O288,N288))*86400,0),""),IF(ISNUMBER(O288),ROUND((Q288-O288)*86400,0),""))))</f>
        <v/>
      </c>
      <c r="AC288" s="19" t="str">
        <f aca="false">IF(AND(ISNUMBER(Q288),ISNUMBER(R288)),ROUND(R288-Q288,2),"")</f>
        <v/>
      </c>
      <c r="AD288" s="19" t="str">
        <f aca="false">IF(AND(ISNUMBER(AB288),ISNUMBER(Z288)),AB288-Z288,"")</f>
        <v/>
      </c>
      <c r="AE288" s="19"/>
      <c r="AF288" s="19"/>
      <c r="AG288" s="22"/>
      <c r="AH288" s="23"/>
      <c r="AI288" s="23"/>
      <c r="AJ288" s="23"/>
      <c r="AK288" s="23"/>
      <c r="AL288" s="23"/>
      <c r="AM288" s="23"/>
      <c r="AN288" s="23"/>
      <c r="AO288" s="23"/>
      <c r="AP288" s="23"/>
      <c r="AQ288" s="23"/>
      <c r="AR288" s="23"/>
      <c r="AS288" s="23"/>
      <c r="AT288" s="23"/>
      <c r="AU288" s="23"/>
      <c r="AV288" s="23"/>
      <c r="AW288" s="23"/>
      <c r="AX288" s="23"/>
      <c r="AY288" s="23"/>
      <c r="AZ288" s="23"/>
      <c r="BA288" s="23"/>
      <c r="BB288" s="23"/>
      <c r="BC288" s="23"/>
      <c r="BD288" s="23"/>
      <c r="BE288" s="23"/>
      <c r="BF288" s="23"/>
      <c r="BG288" s="24"/>
      <c r="BH288" s="23"/>
      <c r="BI288" s="23"/>
      <c r="BJ288" s="19"/>
      <c r="BK288" s="19"/>
      <c r="BL288" s="19"/>
      <c r="BM288" s="19"/>
      <c r="BN288" s="23"/>
      <c r="BO288" s="23"/>
      <c r="BP288" s="19"/>
      <c r="BQ288" s="19"/>
      <c r="BR288" s="19"/>
      <c r="BS288" s="23"/>
    </row>
    <row r="289" customFormat="false" ht="15" hidden="false" customHeight="false" outlineLevel="0" collapsed="false">
      <c r="A289" s="19"/>
      <c r="B289" s="19"/>
      <c r="C289" s="19"/>
      <c r="D289" s="19"/>
      <c r="E289" s="19"/>
      <c r="F289" s="19"/>
      <c r="G289" s="19"/>
      <c r="H289" s="20"/>
      <c r="I289" s="19"/>
      <c r="J289" s="19"/>
      <c r="K289" s="19"/>
      <c r="L289" s="21"/>
      <c r="M289" s="21"/>
      <c r="N289" s="21"/>
      <c r="O289" s="21"/>
      <c r="P289" s="21"/>
      <c r="Q289" s="21"/>
      <c r="R289" s="21"/>
      <c r="S289" s="19"/>
      <c r="T289" s="19"/>
      <c r="U289" s="19"/>
      <c r="V289" s="19"/>
      <c r="W289" s="19"/>
      <c r="X289" s="19"/>
      <c r="Y289" s="19"/>
      <c r="Z289" s="19"/>
      <c r="AA289" s="19"/>
      <c r="AB289" s="19" t="str">
        <f aca="false">IF(NOT(ISNUMBER(Q289)),"",IF(E289="organizer_case",IF(ISNUMBER(P289),ROUND((Q289-P289)*86400,0),""),IF(J289="ADVANCE",IF(ISNUMBER(O289),ROUND((Q289-MAX(O289,N289))*86400,0),""),IF(ISNUMBER(O289),ROUND((Q289-O289)*86400,0),""))))</f>
        <v/>
      </c>
      <c r="AC289" s="19" t="str">
        <f aca="false">IF(AND(ISNUMBER(Q289),ISNUMBER(R289)),ROUND(R289-Q289,2),"")</f>
        <v/>
      </c>
      <c r="AD289" s="19" t="str">
        <f aca="false">IF(AND(ISNUMBER(AB289),ISNUMBER(Z289)),AB289-Z289,"")</f>
        <v/>
      </c>
      <c r="AE289" s="19"/>
      <c r="AF289" s="19"/>
      <c r="AG289" s="22"/>
      <c r="AH289" s="23"/>
      <c r="AI289" s="23"/>
      <c r="AJ289" s="23"/>
      <c r="AK289" s="23"/>
      <c r="AL289" s="23"/>
      <c r="AM289" s="23"/>
      <c r="AN289" s="23"/>
      <c r="AO289" s="23"/>
      <c r="AP289" s="23"/>
      <c r="AQ289" s="23"/>
      <c r="AR289" s="23"/>
      <c r="AS289" s="23"/>
      <c r="AT289" s="23"/>
      <c r="AU289" s="23"/>
      <c r="AV289" s="23"/>
      <c r="AW289" s="23"/>
      <c r="AX289" s="23"/>
      <c r="AY289" s="23"/>
      <c r="AZ289" s="23"/>
      <c r="BA289" s="23"/>
      <c r="BB289" s="23"/>
      <c r="BC289" s="23"/>
      <c r="BD289" s="23"/>
      <c r="BE289" s="23"/>
      <c r="BF289" s="23"/>
      <c r="BG289" s="24"/>
      <c r="BH289" s="23"/>
      <c r="BI289" s="23"/>
      <c r="BJ289" s="19"/>
      <c r="BK289" s="19"/>
      <c r="BL289" s="19"/>
      <c r="BM289" s="19"/>
      <c r="BN289" s="23"/>
      <c r="BO289" s="23"/>
      <c r="BP289" s="19"/>
      <c r="BQ289" s="19"/>
      <c r="BR289" s="19"/>
      <c r="BS289" s="23"/>
    </row>
    <row r="290" customFormat="false" ht="15" hidden="false" customHeight="false" outlineLevel="0" collapsed="false">
      <c r="A290" s="19"/>
      <c r="B290" s="19"/>
      <c r="C290" s="19"/>
      <c r="D290" s="19"/>
      <c r="E290" s="19"/>
      <c r="F290" s="19"/>
      <c r="G290" s="19"/>
      <c r="H290" s="20"/>
      <c r="I290" s="19"/>
      <c r="J290" s="19"/>
      <c r="K290" s="19"/>
      <c r="L290" s="21"/>
      <c r="M290" s="21"/>
      <c r="N290" s="21"/>
      <c r="O290" s="21"/>
      <c r="P290" s="21"/>
      <c r="Q290" s="21"/>
      <c r="R290" s="21"/>
      <c r="S290" s="19"/>
      <c r="T290" s="19"/>
      <c r="U290" s="19"/>
      <c r="V290" s="19"/>
      <c r="W290" s="19"/>
      <c r="X290" s="19"/>
      <c r="Y290" s="19"/>
      <c r="Z290" s="19"/>
      <c r="AA290" s="19"/>
      <c r="AB290" s="19" t="str">
        <f aca="false">IF(NOT(ISNUMBER(Q290)),"",IF(E290="organizer_case",IF(ISNUMBER(P290),ROUND((Q290-P290)*86400,0),""),IF(J290="ADVANCE",IF(ISNUMBER(O290),ROUND((Q290-MAX(O290,N290))*86400,0),""),IF(ISNUMBER(O290),ROUND((Q290-O290)*86400,0),""))))</f>
        <v/>
      </c>
      <c r="AC290" s="19" t="str">
        <f aca="false">IF(AND(ISNUMBER(Q290),ISNUMBER(R290)),ROUND(R290-Q290,2),"")</f>
        <v/>
      </c>
      <c r="AD290" s="19" t="str">
        <f aca="false">IF(AND(ISNUMBER(AB290),ISNUMBER(Z290)),AB290-Z290,"")</f>
        <v/>
      </c>
      <c r="AE290" s="19"/>
      <c r="AF290" s="19"/>
      <c r="AG290" s="22"/>
      <c r="AH290" s="23"/>
      <c r="AI290" s="23"/>
      <c r="AJ290" s="23"/>
      <c r="AK290" s="23"/>
      <c r="AL290" s="23"/>
      <c r="AM290" s="23"/>
      <c r="AN290" s="23"/>
      <c r="AO290" s="23"/>
      <c r="AP290" s="23"/>
      <c r="AQ290" s="23"/>
      <c r="AR290" s="23"/>
      <c r="AS290" s="23"/>
      <c r="AT290" s="23"/>
      <c r="AU290" s="23"/>
      <c r="AV290" s="23"/>
      <c r="AW290" s="23"/>
      <c r="AX290" s="23"/>
      <c r="AY290" s="23"/>
      <c r="AZ290" s="23"/>
      <c r="BA290" s="23"/>
      <c r="BB290" s="23"/>
      <c r="BC290" s="23"/>
      <c r="BD290" s="23"/>
      <c r="BE290" s="23"/>
      <c r="BF290" s="23"/>
      <c r="BG290" s="24"/>
      <c r="BH290" s="23"/>
      <c r="BI290" s="23"/>
      <c r="BJ290" s="19"/>
      <c r="BK290" s="19"/>
      <c r="BL290" s="19"/>
      <c r="BM290" s="19"/>
      <c r="BN290" s="23"/>
      <c r="BO290" s="23"/>
      <c r="BP290" s="19"/>
      <c r="BQ290" s="19"/>
      <c r="BR290" s="19"/>
      <c r="BS290" s="23"/>
    </row>
    <row r="291" customFormat="false" ht="15" hidden="false" customHeight="false" outlineLevel="0" collapsed="false">
      <c r="A291" s="19"/>
      <c r="B291" s="19"/>
      <c r="C291" s="19"/>
      <c r="D291" s="19"/>
      <c r="E291" s="19"/>
      <c r="F291" s="19"/>
      <c r="G291" s="19"/>
      <c r="H291" s="20"/>
      <c r="I291" s="19"/>
      <c r="J291" s="19"/>
      <c r="K291" s="19"/>
      <c r="L291" s="21"/>
      <c r="M291" s="21"/>
      <c r="N291" s="21"/>
      <c r="O291" s="21"/>
      <c r="P291" s="21"/>
      <c r="Q291" s="21"/>
      <c r="R291" s="21"/>
      <c r="S291" s="19"/>
      <c r="T291" s="19"/>
      <c r="U291" s="19"/>
      <c r="V291" s="19"/>
      <c r="W291" s="19"/>
      <c r="X291" s="19"/>
      <c r="Y291" s="19"/>
      <c r="Z291" s="19"/>
      <c r="AA291" s="19"/>
      <c r="AB291" s="19" t="str">
        <f aca="false">IF(NOT(ISNUMBER(Q291)),"",IF(E291="organizer_case",IF(ISNUMBER(P291),ROUND((Q291-P291)*86400,0),""),IF(J291="ADVANCE",IF(ISNUMBER(O291),ROUND((Q291-MAX(O291,N291))*86400,0),""),IF(ISNUMBER(O291),ROUND((Q291-O291)*86400,0),""))))</f>
        <v/>
      </c>
      <c r="AC291" s="19" t="str">
        <f aca="false">IF(AND(ISNUMBER(Q291),ISNUMBER(R291)),ROUND(R291-Q291,2),"")</f>
        <v/>
      </c>
      <c r="AD291" s="19" t="str">
        <f aca="false">IF(AND(ISNUMBER(AB291),ISNUMBER(Z291)),AB291-Z291,"")</f>
        <v/>
      </c>
      <c r="AE291" s="19"/>
      <c r="AF291" s="19"/>
      <c r="AG291" s="22"/>
      <c r="AH291" s="23"/>
      <c r="AI291" s="23"/>
      <c r="AJ291" s="23"/>
      <c r="AK291" s="23"/>
      <c r="AL291" s="23"/>
      <c r="AM291" s="23"/>
      <c r="AN291" s="23"/>
      <c r="AO291" s="23"/>
      <c r="AP291" s="23"/>
      <c r="AQ291" s="23"/>
      <c r="AR291" s="23"/>
      <c r="AS291" s="23"/>
      <c r="AT291" s="23"/>
      <c r="AU291" s="23"/>
      <c r="AV291" s="23"/>
      <c r="AW291" s="23"/>
      <c r="AX291" s="23"/>
      <c r="AY291" s="23"/>
      <c r="AZ291" s="23"/>
      <c r="BA291" s="23"/>
      <c r="BB291" s="23"/>
      <c r="BC291" s="23"/>
      <c r="BD291" s="23"/>
      <c r="BE291" s="23"/>
      <c r="BF291" s="23"/>
      <c r="BG291" s="24"/>
      <c r="BH291" s="23"/>
      <c r="BI291" s="23"/>
      <c r="BJ291" s="19"/>
      <c r="BK291" s="19"/>
      <c r="BL291" s="19"/>
      <c r="BM291" s="19"/>
      <c r="BN291" s="23"/>
      <c r="BO291" s="23"/>
      <c r="BP291" s="19"/>
      <c r="BQ291" s="19"/>
      <c r="BR291" s="19"/>
      <c r="BS291" s="23"/>
    </row>
    <row r="292" customFormat="false" ht="15" hidden="false" customHeight="false" outlineLevel="0" collapsed="false">
      <c r="A292" s="19"/>
      <c r="B292" s="19"/>
      <c r="C292" s="19"/>
      <c r="D292" s="19"/>
      <c r="E292" s="19"/>
      <c r="F292" s="19"/>
      <c r="G292" s="19"/>
      <c r="H292" s="20"/>
      <c r="I292" s="19"/>
      <c r="J292" s="19"/>
      <c r="K292" s="19"/>
      <c r="L292" s="21"/>
      <c r="M292" s="21"/>
      <c r="N292" s="21"/>
      <c r="O292" s="21"/>
      <c r="P292" s="21"/>
      <c r="Q292" s="21"/>
      <c r="R292" s="21"/>
      <c r="S292" s="19"/>
      <c r="T292" s="19"/>
      <c r="U292" s="19"/>
      <c r="V292" s="19"/>
      <c r="W292" s="19"/>
      <c r="X292" s="19"/>
      <c r="Y292" s="19"/>
      <c r="Z292" s="19"/>
      <c r="AA292" s="19"/>
      <c r="AB292" s="19" t="str">
        <f aca="false">IF(NOT(ISNUMBER(Q292)),"",IF(E292="organizer_case",IF(ISNUMBER(P292),ROUND((Q292-P292)*86400,0),""),IF(J292="ADVANCE",IF(ISNUMBER(O292),ROUND((Q292-MAX(O292,N292))*86400,0),""),IF(ISNUMBER(O292),ROUND((Q292-O292)*86400,0),""))))</f>
        <v/>
      </c>
      <c r="AC292" s="19" t="str">
        <f aca="false">IF(AND(ISNUMBER(Q292),ISNUMBER(R292)),ROUND(R292-Q292,2),"")</f>
        <v/>
      </c>
      <c r="AD292" s="19" t="str">
        <f aca="false">IF(AND(ISNUMBER(AB292),ISNUMBER(Z292)),AB292-Z292,"")</f>
        <v/>
      </c>
      <c r="AE292" s="19"/>
      <c r="AF292" s="19"/>
      <c r="AG292" s="22"/>
      <c r="AH292" s="23"/>
      <c r="AI292" s="23"/>
      <c r="AJ292" s="23"/>
      <c r="AK292" s="23"/>
      <c r="AL292" s="23"/>
      <c r="AM292" s="23"/>
      <c r="AN292" s="23"/>
      <c r="AO292" s="23"/>
      <c r="AP292" s="23"/>
      <c r="AQ292" s="23"/>
      <c r="AR292" s="23"/>
      <c r="AS292" s="23"/>
      <c r="AT292" s="23"/>
      <c r="AU292" s="23"/>
      <c r="AV292" s="23"/>
      <c r="AW292" s="23"/>
      <c r="AX292" s="23"/>
      <c r="AY292" s="23"/>
      <c r="AZ292" s="23"/>
      <c r="BA292" s="23"/>
      <c r="BB292" s="23"/>
      <c r="BC292" s="23"/>
      <c r="BD292" s="23"/>
      <c r="BE292" s="23"/>
      <c r="BF292" s="23"/>
      <c r="BG292" s="24"/>
      <c r="BH292" s="23"/>
      <c r="BI292" s="23"/>
      <c r="BJ292" s="19"/>
      <c r="BK292" s="19"/>
      <c r="BL292" s="19"/>
      <c r="BM292" s="19"/>
      <c r="BN292" s="23"/>
      <c r="BO292" s="23"/>
      <c r="BP292" s="19"/>
      <c r="BQ292" s="19"/>
      <c r="BR292" s="19"/>
      <c r="BS292" s="23"/>
    </row>
    <row r="293" customFormat="false" ht="15" hidden="false" customHeight="false" outlineLevel="0" collapsed="false">
      <c r="A293" s="19"/>
      <c r="B293" s="19"/>
      <c r="C293" s="19"/>
      <c r="D293" s="19"/>
      <c r="E293" s="19"/>
      <c r="F293" s="19"/>
      <c r="G293" s="19"/>
      <c r="H293" s="20"/>
      <c r="I293" s="19"/>
      <c r="J293" s="19"/>
      <c r="K293" s="19"/>
      <c r="L293" s="21"/>
      <c r="M293" s="21"/>
      <c r="N293" s="21"/>
      <c r="O293" s="21"/>
      <c r="P293" s="21"/>
      <c r="Q293" s="21"/>
      <c r="R293" s="21"/>
      <c r="S293" s="19"/>
      <c r="T293" s="19"/>
      <c r="U293" s="19"/>
      <c r="V293" s="19"/>
      <c r="W293" s="19"/>
      <c r="X293" s="19"/>
      <c r="Y293" s="19"/>
      <c r="Z293" s="19"/>
      <c r="AA293" s="19"/>
      <c r="AB293" s="19" t="str">
        <f aca="false">IF(NOT(ISNUMBER(Q293)),"",IF(E293="organizer_case",IF(ISNUMBER(P293),ROUND((Q293-P293)*86400,0),""),IF(J293="ADVANCE",IF(ISNUMBER(O293),ROUND((Q293-MAX(O293,N293))*86400,0),""),IF(ISNUMBER(O293),ROUND((Q293-O293)*86400,0),""))))</f>
        <v/>
      </c>
      <c r="AC293" s="19" t="str">
        <f aca="false">IF(AND(ISNUMBER(Q293),ISNUMBER(R293)),ROUND(R293-Q293,2),"")</f>
        <v/>
      </c>
      <c r="AD293" s="19" t="str">
        <f aca="false">IF(AND(ISNUMBER(AB293),ISNUMBER(Z293)),AB293-Z293,"")</f>
        <v/>
      </c>
      <c r="AE293" s="19"/>
      <c r="AF293" s="19"/>
      <c r="AG293" s="22"/>
      <c r="AH293" s="23"/>
      <c r="AI293" s="23"/>
      <c r="AJ293" s="23"/>
      <c r="AK293" s="23"/>
      <c r="AL293" s="23"/>
      <c r="AM293" s="23"/>
      <c r="AN293" s="23"/>
      <c r="AO293" s="23"/>
      <c r="AP293" s="23"/>
      <c r="AQ293" s="23"/>
      <c r="AR293" s="23"/>
      <c r="AS293" s="23"/>
      <c r="AT293" s="23"/>
      <c r="AU293" s="23"/>
      <c r="AV293" s="23"/>
      <c r="AW293" s="23"/>
      <c r="AX293" s="23"/>
      <c r="AY293" s="23"/>
      <c r="AZ293" s="23"/>
      <c r="BA293" s="23"/>
      <c r="BB293" s="23"/>
      <c r="BC293" s="23"/>
      <c r="BD293" s="23"/>
      <c r="BE293" s="23"/>
      <c r="BF293" s="23"/>
      <c r="BG293" s="24"/>
      <c r="BH293" s="23"/>
      <c r="BI293" s="23"/>
      <c r="BJ293" s="19"/>
      <c r="BK293" s="19"/>
      <c r="BL293" s="19"/>
      <c r="BM293" s="19"/>
      <c r="BN293" s="23"/>
      <c r="BO293" s="23"/>
      <c r="BP293" s="19"/>
      <c r="BQ293" s="19"/>
      <c r="BR293" s="19"/>
      <c r="BS293" s="23"/>
    </row>
    <row r="294" customFormat="false" ht="15" hidden="false" customHeight="false" outlineLevel="0" collapsed="false">
      <c r="A294" s="19"/>
      <c r="B294" s="19"/>
      <c r="C294" s="19"/>
      <c r="D294" s="19"/>
      <c r="E294" s="19"/>
      <c r="F294" s="19"/>
      <c r="G294" s="19"/>
      <c r="H294" s="20"/>
      <c r="I294" s="19"/>
      <c r="J294" s="19"/>
      <c r="K294" s="19"/>
      <c r="L294" s="21"/>
      <c r="M294" s="21"/>
      <c r="N294" s="21"/>
      <c r="O294" s="21"/>
      <c r="P294" s="21"/>
      <c r="Q294" s="21"/>
      <c r="R294" s="21"/>
      <c r="S294" s="19"/>
      <c r="T294" s="19"/>
      <c r="U294" s="19"/>
      <c r="V294" s="19"/>
      <c r="W294" s="19"/>
      <c r="X294" s="19"/>
      <c r="Y294" s="19"/>
      <c r="Z294" s="19"/>
      <c r="AA294" s="19"/>
      <c r="AB294" s="19" t="str">
        <f aca="false">IF(NOT(ISNUMBER(Q294)),"",IF(E294="organizer_case",IF(ISNUMBER(P294),ROUND((Q294-P294)*86400,0),""),IF(J294="ADVANCE",IF(ISNUMBER(O294),ROUND((Q294-MAX(O294,N294))*86400,0),""),IF(ISNUMBER(O294),ROUND((Q294-O294)*86400,0),""))))</f>
        <v/>
      </c>
      <c r="AC294" s="19" t="str">
        <f aca="false">IF(AND(ISNUMBER(Q294),ISNUMBER(R294)),ROUND(R294-Q294,2),"")</f>
        <v/>
      </c>
      <c r="AD294" s="19" t="str">
        <f aca="false">IF(AND(ISNUMBER(AB294),ISNUMBER(Z294)),AB294-Z294,"")</f>
        <v/>
      </c>
      <c r="AE294" s="19"/>
      <c r="AF294" s="19"/>
      <c r="AG294" s="22"/>
      <c r="AH294" s="23"/>
      <c r="AI294" s="23"/>
      <c r="AJ294" s="23"/>
      <c r="AK294" s="23"/>
      <c r="AL294" s="23"/>
      <c r="AM294" s="23"/>
      <c r="AN294" s="23"/>
      <c r="AO294" s="23"/>
      <c r="AP294" s="23"/>
      <c r="AQ294" s="23"/>
      <c r="AR294" s="23"/>
      <c r="AS294" s="23"/>
      <c r="AT294" s="23"/>
      <c r="AU294" s="23"/>
      <c r="AV294" s="23"/>
      <c r="AW294" s="23"/>
      <c r="AX294" s="23"/>
      <c r="AY294" s="23"/>
      <c r="AZ294" s="23"/>
      <c r="BA294" s="23"/>
      <c r="BB294" s="23"/>
      <c r="BC294" s="23"/>
      <c r="BD294" s="23"/>
      <c r="BE294" s="23"/>
      <c r="BF294" s="23"/>
      <c r="BG294" s="24"/>
      <c r="BH294" s="23"/>
      <c r="BI294" s="23"/>
      <c r="BJ294" s="19"/>
      <c r="BK294" s="19"/>
      <c r="BL294" s="19"/>
      <c r="BM294" s="19"/>
      <c r="BN294" s="23"/>
      <c r="BO294" s="23"/>
      <c r="BP294" s="19"/>
      <c r="BQ294" s="19"/>
      <c r="BR294" s="19"/>
      <c r="BS294" s="23"/>
    </row>
    <row r="295" customFormat="false" ht="15" hidden="false" customHeight="false" outlineLevel="0" collapsed="false">
      <c r="A295" s="19"/>
      <c r="B295" s="19"/>
      <c r="C295" s="19"/>
      <c r="D295" s="19"/>
      <c r="E295" s="19"/>
      <c r="F295" s="19"/>
      <c r="G295" s="19"/>
      <c r="H295" s="20"/>
      <c r="I295" s="19"/>
      <c r="J295" s="19"/>
      <c r="K295" s="19"/>
      <c r="L295" s="21"/>
      <c r="M295" s="21"/>
      <c r="N295" s="21"/>
      <c r="O295" s="21"/>
      <c r="P295" s="21"/>
      <c r="Q295" s="21"/>
      <c r="R295" s="21"/>
      <c r="S295" s="19"/>
      <c r="T295" s="19"/>
      <c r="U295" s="19"/>
      <c r="V295" s="19"/>
      <c r="W295" s="19"/>
      <c r="X295" s="19"/>
      <c r="Y295" s="19"/>
      <c r="Z295" s="19"/>
      <c r="AA295" s="19"/>
      <c r="AB295" s="19" t="str">
        <f aca="false">IF(NOT(ISNUMBER(Q295)),"",IF(E295="organizer_case",IF(ISNUMBER(P295),ROUND((Q295-P295)*86400,0),""),IF(J295="ADVANCE",IF(ISNUMBER(O295),ROUND((Q295-MAX(O295,N295))*86400,0),""),IF(ISNUMBER(O295),ROUND((Q295-O295)*86400,0),""))))</f>
        <v/>
      </c>
      <c r="AC295" s="19" t="str">
        <f aca="false">IF(AND(ISNUMBER(Q295),ISNUMBER(R295)),ROUND(R295-Q295,2),"")</f>
        <v/>
      </c>
      <c r="AD295" s="19" t="str">
        <f aca="false">IF(AND(ISNUMBER(AB295),ISNUMBER(Z295)),AB295-Z295,"")</f>
        <v/>
      </c>
      <c r="AE295" s="19"/>
      <c r="AF295" s="19"/>
      <c r="AG295" s="22"/>
      <c r="AH295" s="23"/>
      <c r="AI295" s="23"/>
      <c r="AJ295" s="23"/>
      <c r="AK295" s="23"/>
      <c r="AL295" s="23"/>
      <c r="AM295" s="23"/>
      <c r="AN295" s="23"/>
      <c r="AO295" s="23"/>
      <c r="AP295" s="23"/>
      <c r="AQ295" s="23"/>
      <c r="AR295" s="23"/>
      <c r="AS295" s="23"/>
      <c r="AT295" s="23"/>
      <c r="AU295" s="23"/>
      <c r="AV295" s="23"/>
      <c r="AW295" s="23"/>
      <c r="AX295" s="23"/>
      <c r="AY295" s="23"/>
      <c r="AZ295" s="23"/>
      <c r="BA295" s="23"/>
      <c r="BB295" s="23"/>
      <c r="BC295" s="23"/>
      <c r="BD295" s="23"/>
      <c r="BE295" s="23"/>
      <c r="BF295" s="23"/>
      <c r="BG295" s="24"/>
      <c r="BH295" s="23"/>
      <c r="BI295" s="23"/>
      <c r="BJ295" s="19"/>
      <c r="BK295" s="19"/>
      <c r="BL295" s="19"/>
      <c r="BM295" s="19"/>
      <c r="BN295" s="23"/>
      <c r="BO295" s="23"/>
      <c r="BP295" s="19"/>
      <c r="BQ295" s="19"/>
      <c r="BR295" s="19"/>
      <c r="BS295" s="23"/>
    </row>
    <row r="296" customFormat="false" ht="15" hidden="false" customHeight="false" outlineLevel="0" collapsed="false">
      <c r="A296" s="19"/>
      <c r="B296" s="19"/>
      <c r="C296" s="19"/>
      <c r="D296" s="19"/>
      <c r="E296" s="19"/>
      <c r="F296" s="19"/>
      <c r="G296" s="19"/>
      <c r="H296" s="20"/>
      <c r="I296" s="19"/>
      <c r="J296" s="19"/>
      <c r="K296" s="19"/>
      <c r="L296" s="21"/>
      <c r="M296" s="21"/>
      <c r="N296" s="21"/>
      <c r="O296" s="21"/>
      <c r="P296" s="21"/>
      <c r="Q296" s="21"/>
      <c r="R296" s="21"/>
      <c r="S296" s="19"/>
      <c r="T296" s="19"/>
      <c r="U296" s="19"/>
      <c r="V296" s="19"/>
      <c r="W296" s="19"/>
      <c r="X296" s="19"/>
      <c r="Y296" s="19"/>
      <c r="Z296" s="19"/>
      <c r="AA296" s="19"/>
      <c r="AB296" s="19" t="str">
        <f aca="false">IF(NOT(ISNUMBER(Q296)),"",IF(E296="organizer_case",IF(ISNUMBER(P296),ROUND((Q296-P296)*86400,0),""),IF(J296="ADVANCE",IF(ISNUMBER(O296),ROUND((Q296-MAX(O296,N296))*86400,0),""),IF(ISNUMBER(O296),ROUND((Q296-O296)*86400,0),""))))</f>
        <v/>
      </c>
      <c r="AC296" s="19" t="str">
        <f aca="false">IF(AND(ISNUMBER(Q296),ISNUMBER(R296)),ROUND(R296-Q296,2),"")</f>
        <v/>
      </c>
      <c r="AD296" s="19" t="str">
        <f aca="false">IF(AND(ISNUMBER(AB296),ISNUMBER(Z296)),AB296-Z296,"")</f>
        <v/>
      </c>
      <c r="AE296" s="19"/>
      <c r="AF296" s="19"/>
      <c r="AG296" s="22"/>
      <c r="AH296" s="23"/>
      <c r="AI296" s="23"/>
      <c r="AJ296" s="23"/>
      <c r="AK296" s="23"/>
      <c r="AL296" s="23"/>
      <c r="AM296" s="23"/>
      <c r="AN296" s="23"/>
      <c r="AO296" s="23"/>
      <c r="AP296" s="23"/>
      <c r="AQ296" s="23"/>
      <c r="AR296" s="23"/>
      <c r="AS296" s="23"/>
      <c r="AT296" s="23"/>
      <c r="AU296" s="23"/>
      <c r="AV296" s="23"/>
      <c r="AW296" s="23"/>
      <c r="AX296" s="23"/>
      <c r="AY296" s="23"/>
      <c r="AZ296" s="23"/>
      <c r="BA296" s="23"/>
      <c r="BB296" s="23"/>
      <c r="BC296" s="23"/>
      <c r="BD296" s="23"/>
      <c r="BE296" s="23"/>
      <c r="BF296" s="23"/>
      <c r="BG296" s="24"/>
      <c r="BH296" s="23"/>
      <c r="BI296" s="23"/>
      <c r="BJ296" s="19"/>
      <c r="BK296" s="19"/>
      <c r="BL296" s="19"/>
      <c r="BM296" s="19"/>
      <c r="BN296" s="23"/>
      <c r="BO296" s="23"/>
      <c r="BP296" s="19"/>
      <c r="BQ296" s="19"/>
      <c r="BR296" s="19"/>
      <c r="BS296" s="23"/>
    </row>
    <row r="297" customFormat="false" ht="15" hidden="false" customHeight="false" outlineLevel="0" collapsed="false">
      <c r="A297" s="19"/>
      <c r="B297" s="19"/>
      <c r="C297" s="19"/>
      <c r="D297" s="19"/>
      <c r="E297" s="19"/>
      <c r="F297" s="19"/>
      <c r="G297" s="19"/>
      <c r="H297" s="20"/>
      <c r="I297" s="19"/>
      <c r="J297" s="19"/>
      <c r="K297" s="19"/>
      <c r="L297" s="21"/>
      <c r="M297" s="21"/>
      <c r="N297" s="21"/>
      <c r="O297" s="21"/>
      <c r="P297" s="21"/>
      <c r="Q297" s="21"/>
      <c r="R297" s="21"/>
      <c r="S297" s="19"/>
      <c r="T297" s="19"/>
      <c r="U297" s="19"/>
      <c r="V297" s="19"/>
      <c r="W297" s="19"/>
      <c r="X297" s="19"/>
      <c r="Y297" s="19"/>
      <c r="Z297" s="19"/>
      <c r="AA297" s="19"/>
      <c r="AB297" s="19" t="str">
        <f aca="false">IF(NOT(ISNUMBER(Q297)),"",IF(E297="organizer_case",IF(ISNUMBER(P297),ROUND((Q297-P297)*86400,0),""),IF(J297="ADVANCE",IF(ISNUMBER(O297),ROUND((Q297-MAX(O297,N297))*86400,0),""),IF(ISNUMBER(O297),ROUND((Q297-O297)*86400,0),""))))</f>
        <v/>
      </c>
      <c r="AC297" s="19" t="str">
        <f aca="false">IF(AND(ISNUMBER(Q297),ISNUMBER(R297)),ROUND(R297-Q297,2),"")</f>
        <v/>
      </c>
      <c r="AD297" s="19" t="str">
        <f aca="false">IF(AND(ISNUMBER(AB297),ISNUMBER(Z297)),AB297-Z297,"")</f>
        <v/>
      </c>
      <c r="AE297" s="19"/>
      <c r="AF297" s="19"/>
      <c r="AG297" s="22"/>
      <c r="AH297" s="23"/>
      <c r="AI297" s="23"/>
      <c r="AJ297" s="23"/>
      <c r="AK297" s="23"/>
      <c r="AL297" s="23"/>
      <c r="AM297" s="23"/>
      <c r="AN297" s="23"/>
      <c r="AO297" s="23"/>
      <c r="AP297" s="23"/>
      <c r="AQ297" s="23"/>
      <c r="AR297" s="23"/>
      <c r="AS297" s="23"/>
      <c r="AT297" s="23"/>
      <c r="AU297" s="23"/>
      <c r="AV297" s="23"/>
      <c r="AW297" s="23"/>
      <c r="AX297" s="23"/>
      <c r="AY297" s="23"/>
      <c r="AZ297" s="23"/>
      <c r="BA297" s="23"/>
      <c r="BB297" s="23"/>
      <c r="BC297" s="23"/>
      <c r="BD297" s="23"/>
      <c r="BE297" s="23"/>
      <c r="BF297" s="23"/>
      <c r="BG297" s="24"/>
      <c r="BH297" s="23"/>
      <c r="BI297" s="23"/>
      <c r="BJ297" s="19"/>
      <c r="BK297" s="19"/>
      <c r="BL297" s="19"/>
      <c r="BM297" s="19"/>
      <c r="BN297" s="23"/>
      <c r="BO297" s="23"/>
      <c r="BP297" s="19"/>
      <c r="BQ297" s="19"/>
      <c r="BR297" s="19"/>
      <c r="BS297" s="23"/>
    </row>
    <row r="298" customFormat="false" ht="15" hidden="false" customHeight="false" outlineLevel="0" collapsed="false">
      <c r="A298" s="19"/>
      <c r="B298" s="19"/>
      <c r="C298" s="19"/>
      <c r="D298" s="19"/>
      <c r="E298" s="19"/>
      <c r="F298" s="19"/>
      <c r="G298" s="19"/>
      <c r="H298" s="20"/>
      <c r="I298" s="19"/>
      <c r="J298" s="19"/>
      <c r="K298" s="19"/>
      <c r="L298" s="21"/>
      <c r="M298" s="21"/>
      <c r="N298" s="21"/>
      <c r="O298" s="21"/>
      <c r="P298" s="21"/>
      <c r="Q298" s="21"/>
      <c r="R298" s="21"/>
      <c r="S298" s="19"/>
      <c r="T298" s="19"/>
      <c r="U298" s="19"/>
      <c r="V298" s="19"/>
      <c r="W298" s="19"/>
      <c r="X298" s="19"/>
      <c r="Y298" s="19"/>
      <c r="Z298" s="19"/>
      <c r="AA298" s="19"/>
      <c r="AB298" s="19" t="str">
        <f aca="false">IF(NOT(ISNUMBER(Q298)),"",IF(E298="organizer_case",IF(ISNUMBER(P298),ROUND((Q298-P298)*86400,0),""),IF(J298="ADVANCE",IF(ISNUMBER(O298),ROUND((Q298-MAX(O298,N298))*86400,0),""),IF(ISNUMBER(O298),ROUND((Q298-O298)*86400,0),""))))</f>
        <v/>
      </c>
      <c r="AC298" s="19" t="str">
        <f aca="false">IF(AND(ISNUMBER(Q298),ISNUMBER(R298)),ROUND(R298-Q298,2),"")</f>
        <v/>
      </c>
      <c r="AD298" s="19" t="str">
        <f aca="false">IF(AND(ISNUMBER(AB298),ISNUMBER(Z298)),AB298-Z298,"")</f>
        <v/>
      </c>
      <c r="AE298" s="19"/>
      <c r="AF298" s="19"/>
      <c r="AG298" s="22"/>
      <c r="AH298" s="23"/>
      <c r="AI298" s="23"/>
      <c r="AJ298" s="23"/>
      <c r="AK298" s="23"/>
      <c r="AL298" s="23"/>
      <c r="AM298" s="23"/>
      <c r="AN298" s="23"/>
      <c r="AO298" s="23"/>
      <c r="AP298" s="23"/>
      <c r="AQ298" s="23"/>
      <c r="AR298" s="23"/>
      <c r="AS298" s="23"/>
      <c r="AT298" s="23"/>
      <c r="AU298" s="23"/>
      <c r="AV298" s="23"/>
      <c r="AW298" s="23"/>
      <c r="AX298" s="23"/>
      <c r="AY298" s="23"/>
      <c r="AZ298" s="23"/>
      <c r="BA298" s="23"/>
      <c r="BB298" s="23"/>
      <c r="BC298" s="23"/>
      <c r="BD298" s="23"/>
      <c r="BE298" s="23"/>
      <c r="BF298" s="23"/>
      <c r="BG298" s="24"/>
      <c r="BH298" s="23"/>
      <c r="BI298" s="23"/>
      <c r="BJ298" s="19"/>
      <c r="BK298" s="19"/>
      <c r="BL298" s="19"/>
      <c r="BM298" s="19"/>
      <c r="BN298" s="23"/>
      <c r="BO298" s="23"/>
      <c r="BP298" s="19"/>
      <c r="BQ298" s="19"/>
      <c r="BR298" s="19"/>
      <c r="BS298" s="23"/>
    </row>
    <row r="299" customFormat="false" ht="15" hidden="false" customHeight="false" outlineLevel="0" collapsed="false">
      <c r="A299" s="19"/>
      <c r="B299" s="19"/>
      <c r="C299" s="19"/>
      <c r="D299" s="19"/>
      <c r="E299" s="19"/>
      <c r="F299" s="19"/>
      <c r="G299" s="19"/>
      <c r="H299" s="20"/>
      <c r="I299" s="19"/>
      <c r="J299" s="19"/>
      <c r="K299" s="19"/>
      <c r="L299" s="21"/>
      <c r="M299" s="21"/>
      <c r="N299" s="21"/>
      <c r="O299" s="21"/>
      <c r="P299" s="21"/>
      <c r="Q299" s="21"/>
      <c r="R299" s="21"/>
      <c r="S299" s="19"/>
      <c r="T299" s="19"/>
      <c r="U299" s="19"/>
      <c r="V299" s="19"/>
      <c r="W299" s="19"/>
      <c r="X299" s="19"/>
      <c r="Y299" s="19"/>
      <c r="Z299" s="19"/>
      <c r="AA299" s="19"/>
      <c r="AB299" s="19" t="str">
        <f aca="false">IF(NOT(ISNUMBER(Q299)),"",IF(E299="organizer_case",IF(ISNUMBER(P299),ROUND((Q299-P299)*86400,0),""),IF(J299="ADVANCE",IF(ISNUMBER(O299),ROUND((Q299-MAX(O299,N299))*86400,0),""),IF(ISNUMBER(O299),ROUND((Q299-O299)*86400,0),""))))</f>
        <v/>
      </c>
      <c r="AC299" s="19" t="str">
        <f aca="false">IF(AND(ISNUMBER(Q299),ISNUMBER(R299)),ROUND(R299-Q299,2),"")</f>
        <v/>
      </c>
      <c r="AD299" s="19" t="str">
        <f aca="false">IF(AND(ISNUMBER(AB299),ISNUMBER(Z299)),AB299-Z299,"")</f>
        <v/>
      </c>
      <c r="AE299" s="19"/>
      <c r="AF299" s="19"/>
      <c r="AG299" s="22"/>
      <c r="AH299" s="23"/>
      <c r="AI299" s="23"/>
      <c r="AJ299" s="23"/>
      <c r="AK299" s="23"/>
      <c r="AL299" s="23"/>
      <c r="AM299" s="23"/>
      <c r="AN299" s="23"/>
      <c r="AO299" s="23"/>
      <c r="AP299" s="23"/>
      <c r="AQ299" s="23"/>
      <c r="AR299" s="23"/>
      <c r="AS299" s="23"/>
      <c r="AT299" s="23"/>
      <c r="AU299" s="23"/>
      <c r="AV299" s="23"/>
      <c r="AW299" s="23"/>
      <c r="AX299" s="23"/>
      <c r="AY299" s="23"/>
      <c r="AZ299" s="23"/>
      <c r="BA299" s="23"/>
      <c r="BB299" s="23"/>
      <c r="BC299" s="23"/>
      <c r="BD299" s="23"/>
      <c r="BE299" s="23"/>
      <c r="BF299" s="23"/>
      <c r="BG299" s="24"/>
      <c r="BH299" s="23"/>
      <c r="BI299" s="23"/>
      <c r="BJ299" s="19"/>
      <c r="BK299" s="19"/>
      <c r="BL299" s="19"/>
      <c r="BM299" s="19"/>
      <c r="BN299" s="23"/>
      <c r="BO299" s="23"/>
      <c r="BP299" s="19"/>
      <c r="BQ299" s="19"/>
      <c r="BR299" s="19"/>
      <c r="BS299" s="23"/>
    </row>
    <row r="300" customFormat="false" ht="15" hidden="false" customHeight="false" outlineLevel="0" collapsed="false">
      <c r="A300" s="19"/>
      <c r="B300" s="19"/>
      <c r="C300" s="19"/>
      <c r="D300" s="19"/>
      <c r="E300" s="19"/>
      <c r="F300" s="19"/>
      <c r="G300" s="19"/>
      <c r="H300" s="20"/>
      <c r="I300" s="19"/>
      <c r="J300" s="19"/>
      <c r="K300" s="19"/>
      <c r="L300" s="21"/>
      <c r="M300" s="21"/>
      <c r="N300" s="21"/>
      <c r="O300" s="21"/>
      <c r="P300" s="21"/>
      <c r="Q300" s="21"/>
      <c r="R300" s="21"/>
      <c r="S300" s="19"/>
      <c r="T300" s="19"/>
      <c r="U300" s="19"/>
      <c r="V300" s="19"/>
      <c r="W300" s="19"/>
      <c r="X300" s="19"/>
      <c r="Y300" s="19"/>
      <c r="Z300" s="19"/>
      <c r="AA300" s="19"/>
      <c r="AB300" s="19" t="str">
        <f aca="false">IF(NOT(ISNUMBER(Q300)),"",IF(E300="organizer_case",IF(ISNUMBER(P300),ROUND((Q300-P300)*86400,0),""),IF(J300="ADVANCE",IF(ISNUMBER(O300),ROUND((Q300-MAX(O300,N300))*86400,0),""),IF(ISNUMBER(O300),ROUND((Q300-O300)*86400,0),""))))</f>
        <v/>
      </c>
      <c r="AC300" s="19" t="str">
        <f aca="false">IF(AND(ISNUMBER(Q300),ISNUMBER(R300)),ROUND(R300-Q300,2),"")</f>
        <v/>
      </c>
      <c r="AD300" s="19" t="str">
        <f aca="false">IF(AND(ISNUMBER(AB300),ISNUMBER(Z300)),AB300-Z300,"")</f>
        <v/>
      </c>
      <c r="AE300" s="19"/>
      <c r="AF300" s="19"/>
      <c r="AG300" s="22"/>
      <c r="AH300" s="23"/>
      <c r="AI300" s="23"/>
      <c r="AJ300" s="23"/>
      <c r="AK300" s="23"/>
      <c r="AL300" s="23"/>
      <c r="AM300" s="23"/>
      <c r="AN300" s="23"/>
      <c r="AO300" s="23"/>
      <c r="AP300" s="23"/>
      <c r="AQ300" s="23"/>
      <c r="AR300" s="23"/>
      <c r="AS300" s="23"/>
      <c r="AT300" s="23"/>
      <c r="AU300" s="23"/>
      <c r="AV300" s="23"/>
      <c r="AW300" s="23"/>
      <c r="AX300" s="23"/>
      <c r="AY300" s="23"/>
      <c r="AZ300" s="23"/>
      <c r="BA300" s="23"/>
      <c r="BB300" s="23"/>
      <c r="BC300" s="23"/>
      <c r="BD300" s="23"/>
      <c r="BE300" s="23"/>
      <c r="BF300" s="23"/>
      <c r="BG300" s="24"/>
      <c r="BH300" s="23"/>
      <c r="BI300" s="23"/>
      <c r="BJ300" s="19"/>
      <c r="BK300" s="19"/>
      <c r="BL300" s="19"/>
      <c r="BM300" s="19"/>
      <c r="BN300" s="23"/>
      <c r="BO300" s="23"/>
      <c r="BP300" s="19"/>
      <c r="BQ300" s="19"/>
      <c r="BR300" s="19"/>
      <c r="BS300" s="23"/>
    </row>
    <row r="301" customFormat="false" ht="15" hidden="false" customHeight="false" outlineLevel="0" collapsed="false">
      <c r="A301" s="19"/>
      <c r="B301" s="19"/>
      <c r="C301" s="19"/>
      <c r="D301" s="19"/>
      <c r="E301" s="19"/>
      <c r="F301" s="19"/>
      <c r="G301" s="19"/>
      <c r="H301" s="20"/>
      <c r="I301" s="19"/>
      <c r="J301" s="19"/>
      <c r="K301" s="19"/>
      <c r="L301" s="21"/>
      <c r="M301" s="21"/>
      <c r="N301" s="21"/>
      <c r="O301" s="21"/>
      <c r="P301" s="21"/>
      <c r="Q301" s="21"/>
      <c r="R301" s="21"/>
      <c r="S301" s="19"/>
      <c r="T301" s="19"/>
      <c r="U301" s="19"/>
      <c r="V301" s="19"/>
      <c r="W301" s="19"/>
      <c r="X301" s="19"/>
      <c r="Y301" s="19"/>
      <c r="Z301" s="19"/>
      <c r="AA301" s="19"/>
      <c r="AB301" s="19" t="str">
        <f aca="false">IF(NOT(ISNUMBER(Q301)),"",IF(E301="organizer_case",IF(ISNUMBER(P301),ROUND((Q301-P301)*86400,0),""),IF(J301="ADVANCE",IF(ISNUMBER(O301),ROUND((Q301-MAX(O301,N301))*86400,0),""),IF(ISNUMBER(O301),ROUND((Q301-O301)*86400,0),""))))</f>
        <v/>
      </c>
      <c r="AC301" s="19" t="str">
        <f aca="false">IF(AND(ISNUMBER(Q301),ISNUMBER(R301)),ROUND(R301-Q301,2),"")</f>
        <v/>
      </c>
      <c r="AD301" s="19" t="str">
        <f aca="false">IF(AND(ISNUMBER(AB301),ISNUMBER(Z301)),AB301-Z301,"")</f>
        <v/>
      </c>
      <c r="AE301" s="19"/>
      <c r="AF301" s="19"/>
      <c r="AG301" s="22"/>
      <c r="AH301" s="23"/>
      <c r="AI301" s="23"/>
      <c r="AJ301" s="23"/>
      <c r="AK301" s="23"/>
      <c r="AL301" s="23"/>
      <c r="AM301" s="23"/>
      <c r="AN301" s="23"/>
      <c r="AO301" s="23"/>
      <c r="AP301" s="23"/>
      <c r="AQ301" s="23"/>
      <c r="AR301" s="23"/>
      <c r="AS301" s="23"/>
      <c r="AT301" s="23"/>
      <c r="AU301" s="23"/>
      <c r="AV301" s="23"/>
      <c r="AW301" s="23"/>
      <c r="AX301" s="23"/>
      <c r="AY301" s="23"/>
      <c r="AZ301" s="23"/>
      <c r="BA301" s="23"/>
      <c r="BB301" s="23"/>
      <c r="BC301" s="23"/>
      <c r="BD301" s="23"/>
      <c r="BE301" s="23"/>
      <c r="BF301" s="23"/>
      <c r="BG301" s="24"/>
      <c r="BH301" s="23"/>
      <c r="BI301" s="23"/>
      <c r="BJ301" s="19"/>
      <c r="BK301" s="19"/>
      <c r="BL301" s="19"/>
      <c r="BM301" s="19"/>
      <c r="BN301" s="23"/>
      <c r="BO301" s="23"/>
      <c r="BP301" s="19"/>
      <c r="BQ301" s="19"/>
      <c r="BR301" s="19"/>
      <c r="BS301" s="23"/>
    </row>
    <row r="302" customFormat="false" ht="15" hidden="false" customHeight="false" outlineLevel="0" collapsed="false">
      <c r="A302" s="19"/>
      <c r="B302" s="19"/>
      <c r="C302" s="19"/>
      <c r="D302" s="19"/>
      <c r="E302" s="19"/>
      <c r="F302" s="19"/>
      <c r="G302" s="19"/>
      <c r="H302" s="20"/>
      <c r="I302" s="19"/>
      <c r="J302" s="19"/>
      <c r="K302" s="19"/>
      <c r="L302" s="21"/>
      <c r="M302" s="21"/>
      <c r="N302" s="21"/>
      <c r="O302" s="21"/>
      <c r="P302" s="21"/>
      <c r="Q302" s="21"/>
      <c r="R302" s="21"/>
      <c r="S302" s="19"/>
      <c r="T302" s="19"/>
      <c r="U302" s="19"/>
      <c r="V302" s="19"/>
      <c r="W302" s="19"/>
      <c r="X302" s="19"/>
      <c r="Y302" s="19"/>
      <c r="Z302" s="19"/>
      <c r="AA302" s="19"/>
      <c r="AB302" s="19" t="str">
        <f aca="false">IF(NOT(ISNUMBER(Q302)),"",IF(E302="organizer_case",IF(ISNUMBER(P302),ROUND((Q302-P302)*86400,0),""),IF(J302="ADVANCE",IF(ISNUMBER(O302),ROUND((Q302-MAX(O302,N302))*86400,0),""),IF(ISNUMBER(O302),ROUND((Q302-O302)*86400,0),""))))</f>
        <v/>
      </c>
      <c r="AC302" s="19" t="str">
        <f aca="false">IF(AND(ISNUMBER(Q302),ISNUMBER(R302)),ROUND(R302-Q302,2),"")</f>
        <v/>
      </c>
      <c r="AD302" s="19" t="str">
        <f aca="false">IF(AND(ISNUMBER(AB302),ISNUMBER(Z302)),AB302-Z302,"")</f>
        <v/>
      </c>
      <c r="AE302" s="19"/>
      <c r="AF302" s="19"/>
      <c r="AG302" s="22"/>
      <c r="AH302" s="23"/>
      <c r="AI302" s="23"/>
      <c r="AJ302" s="23"/>
      <c r="AK302" s="23"/>
      <c r="AL302" s="23"/>
      <c r="AM302" s="23"/>
      <c r="AN302" s="23"/>
      <c r="AO302" s="23"/>
      <c r="AP302" s="23"/>
      <c r="AQ302" s="23"/>
      <c r="AR302" s="23"/>
      <c r="AS302" s="23"/>
      <c r="AT302" s="23"/>
      <c r="AU302" s="23"/>
      <c r="AV302" s="23"/>
      <c r="AW302" s="23"/>
      <c r="AX302" s="23"/>
      <c r="AY302" s="23"/>
      <c r="AZ302" s="23"/>
      <c r="BA302" s="23"/>
      <c r="BB302" s="23"/>
      <c r="BC302" s="23"/>
      <c r="BD302" s="23"/>
      <c r="BE302" s="23"/>
      <c r="BF302" s="23"/>
      <c r="BG302" s="24"/>
      <c r="BH302" s="23"/>
      <c r="BI302" s="23"/>
      <c r="BJ302" s="19"/>
      <c r="BK302" s="19"/>
      <c r="BL302" s="19"/>
      <c r="BM302" s="19"/>
      <c r="BN302" s="23"/>
      <c r="BO302" s="23"/>
      <c r="BP302" s="19"/>
      <c r="BQ302" s="19"/>
      <c r="BR302" s="19"/>
      <c r="BS302" s="23"/>
    </row>
    <row r="303" customFormat="false" ht="15" hidden="false" customHeight="false" outlineLevel="0" collapsed="false">
      <c r="A303" s="19"/>
      <c r="B303" s="19"/>
      <c r="C303" s="19"/>
      <c r="D303" s="19"/>
      <c r="E303" s="19"/>
      <c r="F303" s="19"/>
      <c r="G303" s="19"/>
      <c r="H303" s="20"/>
      <c r="I303" s="19"/>
      <c r="J303" s="19"/>
      <c r="K303" s="19"/>
      <c r="L303" s="21"/>
      <c r="M303" s="21"/>
      <c r="N303" s="21"/>
      <c r="O303" s="21"/>
      <c r="P303" s="21"/>
      <c r="Q303" s="21"/>
      <c r="R303" s="21"/>
      <c r="S303" s="19"/>
      <c r="T303" s="19"/>
      <c r="U303" s="19"/>
      <c r="V303" s="19"/>
      <c r="W303" s="19"/>
      <c r="X303" s="19"/>
      <c r="Y303" s="19"/>
      <c r="Z303" s="19"/>
      <c r="AA303" s="19"/>
      <c r="AB303" s="19" t="str">
        <f aca="false">IF(NOT(ISNUMBER(Q303)),"",IF(E303="organizer_case",IF(ISNUMBER(P303),ROUND((Q303-P303)*86400,0),""),IF(J303="ADVANCE",IF(ISNUMBER(O303),ROUND((Q303-MAX(O303,N303))*86400,0),""),IF(ISNUMBER(O303),ROUND((Q303-O303)*86400,0),""))))</f>
        <v/>
      </c>
      <c r="AC303" s="19" t="str">
        <f aca="false">IF(AND(ISNUMBER(Q303),ISNUMBER(R303)),ROUND(R303-Q303,2),"")</f>
        <v/>
      </c>
      <c r="AD303" s="19" t="str">
        <f aca="false">IF(AND(ISNUMBER(AB303),ISNUMBER(Z303)),AB303-Z303,"")</f>
        <v/>
      </c>
      <c r="AE303" s="19"/>
      <c r="AF303" s="19"/>
      <c r="AG303" s="22"/>
      <c r="AH303" s="23"/>
      <c r="AI303" s="23"/>
      <c r="AJ303" s="23"/>
      <c r="AK303" s="23"/>
      <c r="AL303" s="23"/>
      <c r="AM303" s="23"/>
      <c r="AN303" s="23"/>
      <c r="AO303" s="23"/>
      <c r="AP303" s="23"/>
      <c r="AQ303" s="23"/>
      <c r="AR303" s="23"/>
      <c r="AS303" s="23"/>
      <c r="AT303" s="23"/>
      <c r="AU303" s="23"/>
      <c r="AV303" s="23"/>
      <c r="AW303" s="23"/>
      <c r="AX303" s="23"/>
      <c r="AY303" s="23"/>
      <c r="AZ303" s="23"/>
      <c r="BA303" s="23"/>
      <c r="BB303" s="23"/>
      <c r="BC303" s="23"/>
      <c r="BD303" s="23"/>
      <c r="BE303" s="23"/>
      <c r="BF303" s="23"/>
      <c r="BG303" s="24"/>
      <c r="BH303" s="23"/>
      <c r="BI303" s="23"/>
      <c r="BJ303" s="19"/>
      <c r="BK303" s="19"/>
      <c r="BL303" s="19"/>
      <c r="BM303" s="19"/>
      <c r="BN303" s="23"/>
      <c r="BO303" s="23"/>
      <c r="BP303" s="19"/>
      <c r="BQ303" s="19"/>
      <c r="BR303" s="19"/>
      <c r="BS303" s="23"/>
    </row>
    <row r="304" customFormat="false" ht="15" hidden="false" customHeight="false" outlineLevel="0" collapsed="false">
      <c r="A304" s="19"/>
      <c r="B304" s="19"/>
      <c r="C304" s="19"/>
      <c r="D304" s="19"/>
      <c r="E304" s="19"/>
      <c r="F304" s="19"/>
      <c r="G304" s="19"/>
      <c r="H304" s="20"/>
      <c r="I304" s="19"/>
      <c r="J304" s="19"/>
      <c r="K304" s="19"/>
      <c r="L304" s="21"/>
      <c r="M304" s="21"/>
      <c r="N304" s="21"/>
      <c r="O304" s="21"/>
      <c r="P304" s="21"/>
      <c r="Q304" s="21"/>
      <c r="R304" s="21"/>
      <c r="S304" s="19"/>
      <c r="T304" s="19"/>
      <c r="U304" s="19"/>
      <c r="V304" s="19"/>
      <c r="W304" s="19"/>
      <c r="X304" s="19"/>
      <c r="Y304" s="19"/>
      <c r="Z304" s="19"/>
      <c r="AA304" s="19"/>
      <c r="AB304" s="19" t="str">
        <f aca="false">IF(NOT(ISNUMBER(Q304)),"",IF(E304="organizer_case",IF(ISNUMBER(P304),ROUND((Q304-P304)*86400,0),""),IF(J304="ADVANCE",IF(ISNUMBER(O304),ROUND((Q304-MAX(O304,N304))*86400,0),""),IF(ISNUMBER(O304),ROUND((Q304-O304)*86400,0),""))))</f>
        <v/>
      </c>
      <c r="AC304" s="19" t="str">
        <f aca="false">IF(AND(ISNUMBER(Q304),ISNUMBER(R304)),ROUND(R304-Q304,2),"")</f>
        <v/>
      </c>
      <c r="AD304" s="19" t="str">
        <f aca="false">IF(AND(ISNUMBER(AB304),ISNUMBER(Z304)),AB304-Z304,"")</f>
        <v/>
      </c>
      <c r="AE304" s="19"/>
      <c r="AF304" s="19"/>
      <c r="AG304" s="22"/>
      <c r="AH304" s="23"/>
      <c r="AI304" s="23"/>
      <c r="AJ304" s="23"/>
      <c r="AK304" s="23"/>
      <c r="AL304" s="23"/>
      <c r="AM304" s="23"/>
      <c r="AN304" s="23"/>
      <c r="AO304" s="23"/>
      <c r="AP304" s="23"/>
      <c r="AQ304" s="23"/>
      <c r="AR304" s="23"/>
      <c r="AS304" s="23"/>
      <c r="AT304" s="23"/>
      <c r="AU304" s="23"/>
      <c r="AV304" s="23"/>
      <c r="AW304" s="23"/>
      <c r="AX304" s="23"/>
      <c r="AY304" s="23"/>
      <c r="AZ304" s="23"/>
      <c r="BA304" s="23"/>
      <c r="BB304" s="23"/>
      <c r="BC304" s="23"/>
      <c r="BD304" s="23"/>
      <c r="BE304" s="23"/>
      <c r="BF304" s="23"/>
      <c r="BG304" s="24"/>
      <c r="BH304" s="23"/>
      <c r="BI304" s="23"/>
      <c r="BJ304" s="19"/>
      <c r="BK304" s="19"/>
      <c r="BL304" s="19"/>
      <c r="BM304" s="19"/>
      <c r="BN304" s="23"/>
      <c r="BO304" s="23"/>
      <c r="BP304" s="19"/>
      <c r="BQ304" s="19"/>
      <c r="BR304" s="19"/>
      <c r="BS304" s="23"/>
    </row>
    <row r="305" customFormat="false" ht="15" hidden="false" customHeight="false" outlineLevel="0" collapsed="false">
      <c r="A305" s="19"/>
      <c r="B305" s="19"/>
      <c r="C305" s="19"/>
      <c r="D305" s="19"/>
      <c r="E305" s="19"/>
      <c r="F305" s="19"/>
      <c r="G305" s="19"/>
      <c r="H305" s="20"/>
      <c r="I305" s="19"/>
      <c r="J305" s="19"/>
      <c r="K305" s="19"/>
      <c r="L305" s="21"/>
      <c r="M305" s="21"/>
      <c r="N305" s="21"/>
      <c r="O305" s="21"/>
      <c r="P305" s="21"/>
      <c r="Q305" s="21"/>
      <c r="R305" s="21"/>
      <c r="S305" s="19"/>
      <c r="T305" s="19"/>
      <c r="U305" s="19"/>
      <c r="V305" s="19"/>
      <c r="W305" s="19"/>
      <c r="X305" s="19"/>
      <c r="Y305" s="19"/>
      <c r="Z305" s="19"/>
      <c r="AA305" s="19"/>
      <c r="AB305" s="19" t="str">
        <f aca="false">IF(NOT(ISNUMBER(Q305)),"",IF(E305="organizer_case",IF(ISNUMBER(P305),ROUND((Q305-P305)*86400,0),""),IF(J305="ADVANCE",IF(ISNUMBER(O305),ROUND((Q305-MAX(O305,N305))*86400,0),""),IF(ISNUMBER(O305),ROUND((Q305-O305)*86400,0),""))))</f>
        <v/>
      </c>
      <c r="AC305" s="19" t="str">
        <f aca="false">IF(AND(ISNUMBER(Q305),ISNUMBER(R305)),ROUND(R305-Q305,2),"")</f>
        <v/>
      </c>
      <c r="AD305" s="19" t="str">
        <f aca="false">IF(AND(ISNUMBER(AB305),ISNUMBER(Z305)),AB305-Z305,"")</f>
        <v/>
      </c>
      <c r="AE305" s="19"/>
      <c r="AF305" s="19"/>
      <c r="AG305" s="22"/>
      <c r="AH305" s="23"/>
      <c r="AI305" s="23"/>
      <c r="AJ305" s="23"/>
      <c r="AK305" s="23"/>
      <c r="AL305" s="23"/>
      <c r="AM305" s="23"/>
      <c r="AN305" s="23"/>
      <c r="AO305" s="23"/>
      <c r="AP305" s="23"/>
      <c r="AQ305" s="23"/>
      <c r="AR305" s="23"/>
      <c r="AS305" s="23"/>
      <c r="AT305" s="23"/>
      <c r="AU305" s="23"/>
      <c r="AV305" s="23"/>
      <c r="AW305" s="23"/>
      <c r="AX305" s="23"/>
      <c r="AY305" s="23"/>
      <c r="AZ305" s="23"/>
      <c r="BA305" s="23"/>
      <c r="BB305" s="23"/>
      <c r="BC305" s="23"/>
      <c r="BD305" s="23"/>
      <c r="BE305" s="23"/>
      <c r="BF305" s="23"/>
      <c r="BG305" s="24"/>
      <c r="BH305" s="23"/>
      <c r="BI305" s="23"/>
      <c r="BJ305" s="19"/>
      <c r="BK305" s="19"/>
      <c r="BL305" s="19"/>
      <c r="BM305" s="19"/>
      <c r="BN305" s="23"/>
      <c r="BO305" s="23"/>
      <c r="BP305" s="19"/>
      <c r="BQ305" s="19"/>
      <c r="BR305" s="19"/>
      <c r="BS305" s="23"/>
    </row>
  </sheetData>
  <autoFilter ref="A4:BS305"/>
  <mergeCells count="6">
    <mergeCell ref="A1:T1"/>
    <mergeCell ref="A2:AG2"/>
    <mergeCell ref="AH2:AW2"/>
    <mergeCell ref="AX2:BH2"/>
    <mergeCell ref="BI2:BM2"/>
    <mergeCell ref="BN2:BS2"/>
  </mergeCells>
  <dataValidations count="31">
    <dataValidation allowBlank="true" error="这个值不在下拉列表里。确认要自填吗？（多值请用 '; ' 分隔）" errorStyle="warning" errorTitle="不在列表里" operator="between" showDropDown="false" showErrorMessage="true" showInputMessage="false" sqref="B5:B305" type="list">
      <formula1>lists!$P$2:$P$4</formula1>
      <formula2>0</formula2>
    </dataValidation>
    <dataValidation allowBlank="true" error="这个值不在下拉列表里。确认要自填吗？（多值请用 '; ' 分隔）" errorStyle="warning" errorTitle="不在列表里" operator="between" showDropDown="false" showErrorMessage="true" showInputMessage="false" sqref="C5:C305" type="list">
      <formula1>lists!$Q$2:$Q$4</formula1>
      <formula2>0</formula2>
    </dataValidation>
    <dataValidation allowBlank="true" error="这个值不在下拉列表里。确认要自填吗？（多值请用 '; ' 分隔）" errorStyle="warning" errorTitle="不在列表里" operator="between" showDropDown="false" showErrorMessage="true" showInputMessage="false" sqref="E5:E305" type="list">
      <formula1>lists!$R$2:$R$3</formula1>
      <formula2>0</formula2>
    </dataValidation>
    <dataValidation allowBlank="true" error="这个值不在下拉列表里。确认要自填吗？（多值请用 '; ' 分隔）" errorStyle="warning" errorTitle="不在列表里" operator="between" showDropDown="false" showErrorMessage="true" showInputMessage="false" sqref="F5:F305" type="list">
      <formula1>lists!$D$2:$D$14</formula1>
      <formula2>0</formula2>
    </dataValidation>
    <dataValidation allowBlank="true" error="这个值不在下拉列表里。确认要自填吗？（多值请用 '; ' 分隔）" errorStyle="warning" errorTitle="不在列表里" operator="between" showDropDown="false" showErrorMessage="true" showInputMessage="false" sqref="I5:I305" type="list">
      <formula1>lists!$I$2:$I$15</formula1>
      <formula2>0</formula2>
    </dataValidation>
    <dataValidation allowBlank="true" error="这个值不在下拉列表里。确认要自填吗？（多值请用 '; ' 分隔）" errorStyle="warning" errorTitle="不在列表里" operator="between" showDropDown="false" showErrorMessage="true" showInputMessage="false" sqref="J5:J305" type="list">
      <formula1>lists!$J$2:$J$5</formula1>
      <formula2>0</formula2>
    </dataValidation>
    <dataValidation allowBlank="true" error="这个值不在下拉列表里。确认要自填吗？（多值请用 '; ' 分隔）" errorStyle="warning" errorTitle="不在列表里" operator="between" showDropDown="false" showErrorMessage="true" showInputMessage="false" sqref="K5:K305" type="list">
      <formula1>lists!$K$2:$K$9</formula1>
      <formula2>0</formula2>
    </dataValidation>
    <dataValidation allowBlank="true" error="这个值不在下拉列表里。确认要自填吗？（多值请用 '; ' 分隔）" errorStyle="warning" errorTitle="不在列表里" operator="between" showDropDown="false" showErrorMessage="true" showInputMessage="false" sqref="S5:S305" type="list">
      <formula1>lists!$L$2:$L$7</formula1>
      <formula2>0</formula2>
    </dataValidation>
    <dataValidation allowBlank="true" error="这个值不在下拉列表里。确认要自填吗？（多值请用 '; ' 分隔）" errorStyle="warning" errorTitle="不在列表里" operator="between" showDropDown="false" showErrorMessage="true" showInputMessage="false" sqref="T5:T305" type="list">
      <formula1>lists!$M$2:$M$11</formula1>
      <formula2>0</formula2>
    </dataValidation>
    <dataValidation allowBlank="true" error="这个值不在下拉列表里。确认要自填吗？（多值请用 '; ' 分隔）" errorStyle="warning" errorTitle="不在列表里" operator="between" showDropDown="false" showErrorMessage="true" showInputMessage="false" sqref="AF5:AF305" type="list">
      <formula1>lists!$S$2:$S$4</formula1>
      <formula2>0</formula2>
    </dataValidation>
    <dataValidation allowBlank="true" error="这个值不在下拉列表里。确认要自填吗？（多值请用 '; ' 分隔）" errorStyle="warning" errorTitle="不在列表里" operator="between" showDropDown="false" showErrorMessage="true" showInputMessage="false" sqref="AH5:AH305" type="list">
      <formula1>lists!$T$2:$T$3</formula1>
      <formula2>0</formula2>
    </dataValidation>
    <dataValidation allowBlank="true" error="这个值不在下拉列表里。确认要自填吗？（多值请用 '; ' 分隔）" errorStyle="warning" errorTitle="不在列表里" operator="between" showDropDown="false" showErrorMessage="true" showInputMessage="false" sqref="AI5:AI305" type="list">
      <formula1>lists!$A$2:$A$36</formula1>
      <formula2>0</formula2>
    </dataValidation>
    <dataValidation allowBlank="true" error="这个值不在下拉列表里。确认要自填吗？（多值请用 '; ' 分隔）" errorStyle="warning" errorTitle="不在列表里" operator="between" showDropDown="false" showErrorMessage="true" showInputMessage="false" sqref="AJ5:AJ305" type="list">
      <formula1>lists!$A$2:$A$36</formula1>
      <formula2>0</formula2>
    </dataValidation>
    <dataValidation allowBlank="true" error="这个值不在下拉列表里。确认要自填吗？（多值请用 '; ' 分隔）" errorStyle="warning" errorTitle="不在列表里" operator="between" showDropDown="false" showErrorMessage="true" showInputMessage="false" sqref="AL5:AL305" type="list">
      <formula1>lists!$F$2:$F$8</formula1>
      <formula2>0</formula2>
    </dataValidation>
    <dataValidation allowBlank="true" error="这个值不在下拉列表里。确认要自填吗？（多值请用 '; ' 分隔）" errorStyle="warning" errorTitle="不在列表里" operator="between" showDropDown="false" showErrorMessage="true" showInputMessage="false" sqref="AM5:AM305" type="list">
      <formula1>lists!$B$2:$B$12</formula1>
      <formula2>0</formula2>
    </dataValidation>
    <dataValidation allowBlank="true" error="这个值不在下拉列表里。确认要自填吗？（多值请用 '; ' 分隔）" errorStyle="warning" errorTitle="不在列表里" operator="between" showDropDown="false" showErrorMessage="true" showInputMessage="false" sqref="AO5:AO305" type="list">
      <formula1>lists!$D$2:$D$14</formula1>
      <formula2>0</formula2>
    </dataValidation>
    <dataValidation allowBlank="true" error="这个值不在下拉列表里。确认要自填吗？（多值请用 '; ' 分隔）" errorStyle="warning" errorTitle="不在列表里" operator="between" showDropDown="false" showErrorMessage="true" showInputMessage="false" sqref="AP5:AP305" type="list">
      <formula1>lists!$D$2:$D$14</formula1>
      <formula2>0</formula2>
    </dataValidation>
    <dataValidation allowBlank="true" error="这个值不在下拉列表里。确认要自填吗？（多值请用 '; ' 分隔）" errorStyle="warning" errorTitle="不在列表里" operator="between" showDropDown="false" showErrorMessage="true" showInputMessage="false" sqref="AQ5:AQ305" type="list">
      <formula1>lists!$E$2:$E$7</formula1>
      <formula2>0</formula2>
    </dataValidation>
    <dataValidation allowBlank="true" error="这个值不在下拉列表里。确认要自填吗？（多值请用 '; ' 分隔）" errorStyle="warning" errorTitle="不在列表里" operator="between" showDropDown="false" showErrorMessage="true" showInputMessage="false" sqref="AR5:AR305" type="list">
      <formula1>lists!$C$2:$C$36</formula1>
      <formula2>0</formula2>
    </dataValidation>
    <dataValidation allowBlank="true" error="这个值不在下拉列表里。确认要自填吗？（多值请用 '; ' 分隔）" errorStyle="warning" errorTitle="不在列表里" operator="between" showDropDown="false" showErrorMessage="true" showInputMessage="false" sqref="AS5:AS305" type="list">
      <formula1>lists!$C$2:$C$36</formula1>
      <formula2>0</formula2>
    </dataValidation>
    <dataValidation allowBlank="true" error="这个值不在下拉列表里。确认要自填吗？（多值请用 '; ' 分隔）" errorStyle="warning" errorTitle="不在列表里" operator="between" showDropDown="false" showErrorMessage="true" showInputMessage="false" sqref="AT5:AT305" type="list">
      <formula1>lists!$U$2:$U$3</formula1>
      <formula2>0</formula2>
    </dataValidation>
    <dataValidation allowBlank="true" error="这个值不在下拉列表里。确认要自填吗？（多值请用 '; ' 分隔）" errorStyle="warning" errorTitle="不在列表里" operator="between" showDropDown="false" showErrorMessage="true" showInputMessage="false" sqref="AU5:AU305" type="list">
      <formula1>lists!$G$2:$G$4</formula1>
      <formula2>0</formula2>
    </dataValidation>
    <dataValidation allowBlank="true" error="这个值不在下拉列表里。确认要自填吗？（多值请用 '; ' 分隔）" errorStyle="warning" errorTitle="不在列表里" operator="between" showDropDown="false" showErrorMessage="true" showInputMessage="false" sqref="AV5:AV305" type="list">
      <formula1>lists!$H$2:$H$22</formula1>
      <formula2>0</formula2>
    </dataValidation>
    <dataValidation allowBlank="true" error="这个值不在下拉列表里。确认要自填吗？（多值请用 '; ' 分隔）" errorStyle="warning" errorTitle="不在列表里" operator="between" showDropDown="false" showErrorMessage="true" showInputMessage="false" sqref="AW5:AW305" type="list">
      <formula1>lists!$V$2:$V$10</formula1>
      <formula2>0</formula2>
    </dataValidation>
    <dataValidation allowBlank="true" error="这个值不在下拉列表里。确认要自填吗？（多值请用 '; ' 分隔）" errorStyle="warning" errorTitle="不在列表里" operator="between" showDropDown="false" showErrorMessage="true" showInputMessage="false" sqref="AX5:AX305" type="list">
      <formula1>lists!$N$2:$N$91</formula1>
      <formula2>0</formula2>
    </dataValidation>
    <dataValidation allowBlank="true" error="这个值不在下拉列表里。确认要自填吗？（多值请用 '; ' 分隔）" errorStyle="warning" errorTitle="不在列表里" operator="between" showDropDown="false" showErrorMessage="true" showInputMessage="false" sqref="AY5:AY305" type="list">
      <formula1>lists!$W$2:$W$13</formula1>
      <formula2>0</formula2>
    </dataValidation>
    <dataValidation allowBlank="true" error="这个值不在下拉列表里。确认要自填吗？（多值请用 '; ' 分隔）" errorStyle="warning" errorTitle="不在列表里" operator="between" showDropDown="false" showErrorMessage="true" showInputMessage="false" sqref="AZ5:AZ305" type="list">
      <formula1>lists!$N$2:$N$91</formula1>
      <formula2>0</formula2>
    </dataValidation>
    <dataValidation allowBlank="true" error="这个值不在下拉列表里。确认要自填吗？（多值请用 '; ' 分隔）" errorStyle="warning" errorTitle="不在列表里" operator="between" showDropDown="false" showErrorMessage="true" showInputMessage="false" sqref="BB5:BB305" type="list">
      <formula1>lists!$O$2:$O$141</formula1>
      <formula2>0</formula2>
    </dataValidation>
    <dataValidation allowBlank="true" error="这个值不在下拉列表里。确认要自填吗？（多值请用 '; ' 分隔）" errorStyle="warning" errorTitle="不在列表里" operator="between" showDropDown="false" showErrorMessage="true" showInputMessage="false" sqref="BH5:BH305" type="list">
      <formula1>lists!$X$2:$X$4</formula1>
      <formula2>0</formula2>
    </dataValidation>
    <dataValidation allowBlank="true" error="这个值不在下拉列表里。确认要自填吗？（多值请用 '; ' 分隔）" errorStyle="warning" errorTitle="不在列表里" operator="between" showDropDown="false" showErrorMessage="true" showInputMessage="false" sqref="BM5:BM305" type="list">
      <formula1>lists!$Y$2:$Y$10</formula1>
      <formula2>0</formula2>
    </dataValidation>
    <dataValidation allowBlank="true" error="这个值不在下拉列表里。确认要自填吗？（多值请用 '; ' 分隔）" errorStyle="warning" errorTitle="不在列表里" operator="between" showDropDown="false" showErrorMessage="true" showInputMessage="false" sqref="BR5:BR305" type="list">
      <formula1>lists!$Z$2:$Z$4</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6"/>
    <col collapsed="false" customWidth="true" hidden="false" outlineLevel="0" max="4" min="3" style="0" width="16"/>
    <col collapsed="false" customWidth="true" hidden="false" outlineLevel="0" max="5" min="5" style="0" width="22"/>
    <col collapsed="false" customWidth="true" hidden="false" outlineLevel="0" max="6" min="6" style="0" width="12"/>
  </cols>
  <sheetData>
    <row r="1" customFormat="false" ht="19.4" hidden="false" customHeight="false" outlineLevel="0" collapsed="false">
      <c r="A1" s="25" t="s">
        <v>225</v>
      </c>
      <c r="B1" s="2"/>
      <c r="C1" s="2"/>
      <c r="D1" s="2"/>
      <c r="E1" s="2"/>
      <c r="F1" s="2"/>
    </row>
    <row r="2" customFormat="false" ht="15" hidden="false" customHeight="false" outlineLevel="0" collapsed="false">
      <c r="A2" s="26" t="s">
        <v>226</v>
      </c>
      <c r="B2" s="2"/>
      <c r="C2" s="2"/>
      <c r="D2" s="2"/>
      <c r="E2" s="2"/>
      <c r="F2" s="2"/>
    </row>
    <row r="3" customFormat="false" ht="15" hidden="false" customHeight="false" outlineLevel="0" collapsed="false">
      <c r="A3" s="2"/>
      <c r="B3" s="2"/>
      <c r="C3" s="2"/>
      <c r="D3" s="2"/>
      <c r="E3" s="2"/>
      <c r="F3" s="2"/>
    </row>
    <row r="4" customFormat="false" ht="15" hidden="false" customHeight="false" outlineLevel="0" collapsed="false">
      <c r="A4" s="5" t="s">
        <v>227</v>
      </c>
      <c r="B4" s="2"/>
      <c r="C4" s="2"/>
      <c r="D4" s="2"/>
      <c r="E4" s="2"/>
      <c r="F4" s="2"/>
    </row>
    <row r="5" customFormat="false" ht="28.5" hidden="false" customHeight="true" outlineLevel="0" collapsed="false">
      <c r="A5" s="27" t="s">
        <v>228</v>
      </c>
      <c r="B5" s="2" t="n">
        <f aca="false">COUNTA(标注表!$AM$6:$AM$305)</f>
        <v>0</v>
      </c>
      <c r="C5" s="2"/>
      <c r="D5" s="2"/>
      <c r="E5" s="2"/>
      <c r="F5" s="2"/>
    </row>
    <row r="6" customFormat="false" ht="28.5" hidden="false" customHeight="true" outlineLevel="0" collapsed="false">
      <c r="A6" s="27" t="s">
        <v>229</v>
      </c>
      <c r="B6" s="2" t="n">
        <f aca="false">COUNTA(标注表!$A$6:$A$305)</f>
        <v>1</v>
      </c>
      <c r="C6" s="2"/>
      <c r="D6" s="2"/>
      <c r="E6" s="2"/>
      <c r="F6" s="2"/>
    </row>
    <row r="7" customFormat="false" ht="15" hidden="false" customHeight="false" outlineLevel="0" collapsed="false">
      <c r="A7" s="2"/>
      <c r="B7" s="2"/>
      <c r="C7" s="2"/>
      <c r="D7" s="2"/>
      <c r="E7" s="2"/>
      <c r="F7" s="2"/>
    </row>
    <row r="8" customFormat="false" ht="15" hidden="false" customHeight="false" outlineLevel="0" collapsed="false">
      <c r="A8" s="5" t="s">
        <v>200</v>
      </c>
      <c r="B8" s="2"/>
      <c r="C8" s="2"/>
      <c r="D8" s="2"/>
      <c r="E8" s="2"/>
      <c r="F8" s="2"/>
    </row>
    <row r="9" customFormat="false" ht="15" hidden="false" customHeight="false" outlineLevel="0" collapsed="false">
      <c r="A9" s="28" t="s">
        <v>230</v>
      </c>
      <c r="B9" s="28" t="s">
        <v>231</v>
      </c>
      <c r="C9" s="28" t="s">
        <v>232</v>
      </c>
      <c r="D9" s="28" t="s">
        <v>233</v>
      </c>
      <c r="E9" s="28" t="s">
        <v>23</v>
      </c>
      <c r="F9" s="2"/>
    </row>
    <row r="10" customFormat="false" ht="82.5" hidden="false" customHeight="true" outlineLevel="0" collapsed="false">
      <c r="A10" s="2" t="s">
        <v>234</v>
      </c>
      <c r="B10" s="2" t="n">
        <v>4</v>
      </c>
      <c r="C10" s="2" t="n">
        <f aca="false">COUNTIF(标注表!$AW$6:$AW$305,A10)</f>
        <v>0</v>
      </c>
      <c r="D10" s="2" t="str">
        <f aca="false">IF(C10&gt;=B10,"够","差 "&amp;(B10-C10))</f>
        <v>差 4</v>
      </c>
      <c r="E10" s="2" t="s">
        <v>235</v>
      </c>
      <c r="F10" s="2"/>
    </row>
    <row r="11" customFormat="false" ht="109.5" hidden="false" customHeight="true" outlineLevel="0" collapsed="false">
      <c r="A11" s="2" t="s">
        <v>236</v>
      </c>
      <c r="B11" s="2" t="n">
        <v>6</v>
      </c>
      <c r="C11" s="2" t="n">
        <f aca="false">COUNTIF(标注表!$AW$6:$AW$305,A11)</f>
        <v>0</v>
      </c>
      <c r="D11" s="2" t="str">
        <f aca="false">IF(C11&gt;=B11,"够","差 "&amp;(B11-C11))</f>
        <v>差 6</v>
      </c>
      <c r="E11" s="2" t="s">
        <v>237</v>
      </c>
      <c r="F11" s="2"/>
    </row>
    <row r="12" customFormat="false" ht="42" hidden="false" customHeight="true" outlineLevel="0" collapsed="false">
      <c r="A12" s="2" t="s">
        <v>238</v>
      </c>
      <c r="B12" s="2" t="n">
        <v>3</v>
      </c>
      <c r="C12" s="2" t="n">
        <f aca="false">COUNTIF(标注表!$AW$6:$AW$305,A12)</f>
        <v>0</v>
      </c>
      <c r="D12" s="2" t="str">
        <f aca="false">IF(C12&gt;=B12,"够","差 "&amp;(B12-C12))</f>
        <v>差 3</v>
      </c>
      <c r="E12" s="2" t="s">
        <v>239</v>
      </c>
      <c r="F12" s="2"/>
    </row>
    <row r="13" customFormat="false" ht="82.5" hidden="false" customHeight="true" outlineLevel="0" collapsed="false">
      <c r="A13" s="2" t="s">
        <v>240</v>
      </c>
      <c r="B13" s="2" t="n">
        <v>4</v>
      </c>
      <c r="C13" s="2" t="n">
        <f aca="false">COUNTIF(标注表!$AW$6:$AW$305,A13)</f>
        <v>0</v>
      </c>
      <c r="D13" s="2" t="str">
        <f aca="false">IF(C13&gt;=B13,"够","差 "&amp;(B13-C13))</f>
        <v>差 4</v>
      </c>
      <c r="E13" s="2" t="s">
        <v>241</v>
      </c>
      <c r="F13" s="2"/>
    </row>
    <row r="14" customFormat="false" ht="360" hidden="false" customHeight="true" outlineLevel="0" collapsed="false">
      <c r="A14" s="2" t="s">
        <v>242</v>
      </c>
      <c r="B14" s="2" t="n">
        <v>9</v>
      </c>
      <c r="C14" s="2" t="n">
        <f aca="false">COUNTIF(标注表!$AW$6:$AW$305,A14)</f>
        <v>0</v>
      </c>
      <c r="D14" s="2" t="str">
        <f aca="false">IF(C14&gt;=B14,"够","差 "&amp;(B14-C14))</f>
        <v>差 9</v>
      </c>
      <c r="E14" s="2" t="s">
        <v>243</v>
      </c>
      <c r="F14" s="2"/>
    </row>
    <row r="15" customFormat="false" ht="136.5" hidden="false" customHeight="true" outlineLevel="0" collapsed="false">
      <c r="A15" s="2" t="s">
        <v>244</v>
      </c>
      <c r="B15" s="2" t="n">
        <v>4</v>
      </c>
      <c r="C15" s="2" t="n">
        <f aca="false">COUNTIF(标注表!$AW$6:$AW$305,A15)</f>
        <v>0</v>
      </c>
      <c r="D15" s="2" t="str">
        <f aca="false">IF(C15&gt;=B15,"够","差 "&amp;(B15-C15))</f>
        <v>差 4</v>
      </c>
      <c r="E15" s="2" t="s">
        <v>245</v>
      </c>
      <c r="F15" s="2"/>
    </row>
    <row r="16" customFormat="false" ht="55.5" hidden="false" customHeight="true" outlineLevel="0" collapsed="false">
      <c r="A16" s="2" t="s">
        <v>246</v>
      </c>
      <c r="B16" s="2" t="n">
        <v>4</v>
      </c>
      <c r="C16" s="2" t="n">
        <f aca="false">COUNTIF(标注表!$AW$6:$AW$305,A16)</f>
        <v>0</v>
      </c>
      <c r="D16" s="2" t="str">
        <f aca="false">IF(C16&gt;=B16,"够","差 "&amp;(B16-C16))</f>
        <v>差 4</v>
      </c>
      <c r="E16" s="2" t="s">
        <v>247</v>
      </c>
      <c r="F16" s="2"/>
    </row>
    <row r="17" customFormat="false" ht="69" hidden="false" customHeight="true" outlineLevel="0" collapsed="false">
      <c r="A17" s="2" t="s">
        <v>248</v>
      </c>
      <c r="B17" s="2" t="n">
        <v>4</v>
      </c>
      <c r="C17" s="2" t="n">
        <f aca="false">COUNTIF(标注表!$AW$6:$AW$305,A17)</f>
        <v>0</v>
      </c>
      <c r="D17" s="2" t="str">
        <f aca="false">IF(C17&gt;=B17,"够","差 "&amp;(B17-C17))</f>
        <v>差 4</v>
      </c>
      <c r="E17" s="2" t="s">
        <v>249</v>
      </c>
      <c r="F17" s="2"/>
    </row>
    <row r="18" customFormat="false" ht="15" hidden="false" customHeight="false" outlineLevel="0" collapsed="false">
      <c r="A18" s="2"/>
      <c r="B18" s="2"/>
      <c r="C18" s="2"/>
      <c r="D18" s="2"/>
      <c r="E18" s="2"/>
      <c r="F18" s="2"/>
    </row>
    <row r="19" customFormat="false" ht="15" hidden="false" customHeight="false" outlineLevel="0" collapsed="false">
      <c r="A19" s="5" t="s">
        <v>250</v>
      </c>
      <c r="B19" s="2"/>
      <c r="C19" s="2"/>
      <c r="D19" s="2"/>
      <c r="E19" s="2"/>
      <c r="F19" s="2"/>
    </row>
    <row r="20" customFormat="false" ht="15" hidden="false" customHeight="false" outlineLevel="0" collapsed="false">
      <c r="A20" s="28" t="s">
        <v>251</v>
      </c>
      <c r="B20" s="28" t="s">
        <v>252</v>
      </c>
      <c r="C20" s="28" t="s">
        <v>253</v>
      </c>
      <c r="D20" s="28" t="s">
        <v>254</v>
      </c>
      <c r="E20" s="28" t="s">
        <v>233</v>
      </c>
      <c r="F20" s="2"/>
    </row>
    <row r="21" customFormat="false" ht="15" hidden="false" customHeight="false" outlineLevel="0" collapsed="false">
      <c r="A21" s="2" t="s">
        <v>255</v>
      </c>
      <c r="B21" s="2" t="s">
        <v>256</v>
      </c>
      <c r="C21" s="2" t="n">
        <f aca="false">COUNTIF(标注表!$AI$6:$AI$305,A21)</f>
        <v>0</v>
      </c>
      <c r="D21" s="2" t="n">
        <v>2</v>
      </c>
      <c r="E21" s="2" t="str">
        <f aca="false">IF(C21&gt;=D21,"够","差 "&amp;(D21-C21))</f>
        <v>差 2</v>
      </c>
      <c r="F21" s="2"/>
    </row>
    <row r="22" customFormat="false" ht="15" hidden="false" customHeight="false" outlineLevel="0" collapsed="false">
      <c r="A22" s="2" t="s">
        <v>111</v>
      </c>
      <c r="B22" s="2" t="s">
        <v>256</v>
      </c>
      <c r="C22" s="2" t="n">
        <f aca="false">COUNTIF(标注表!$AI$6:$AI$305,A22)</f>
        <v>0</v>
      </c>
      <c r="D22" s="2" t="n">
        <v>2</v>
      </c>
      <c r="E22" s="2" t="str">
        <f aca="false">IF(C22&gt;=D22,"够","差 "&amp;(D22-C22))</f>
        <v>差 2</v>
      </c>
      <c r="F22" s="2"/>
    </row>
    <row r="23" customFormat="false" ht="15" hidden="false" customHeight="false" outlineLevel="0" collapsed="false">
      <c r="A23" s="2" t="s">
        <v>257</v>
      </c>
      <c r="B23" s="2" t="s">
        <v>256</v>
      </c>
      <c r="C23" s="2" t="n">
        <f aca="false">COUNTIF(标注表!$AI$6:$AI$305,A23)</f>
        <v>0</v>
      </c>
      <c r="D23" s="2" t="n">
        <v>2</v>
      </c>
      <c r="E23" s="2" t="str">
        <f aca="false">IF(C23&gt;=D23,"够","差 "&amp;(D23-C23))</f>
        <v>差 2</v>
      </c>
      <c r="F23" s="2"/>
    </row>
    <row r="24" customFormat="false" ht="15" hidden="false" customHeight="false" outlineLevel="0" collapsed="false">
      <c r="A24" s="2" t="s">
        <v>258</v>
      </c>
      <c r="B24" s="2" t="s">
        <v>259</v>
      </c>
      <c r="C24" s="2" t="n">
        <f aca="false">COUNTIF(标注表!$AI$6:$AI$305,A24)</f>
        <v>0</v>
      </c>
      <c r="D24" s="2" t="n">
        <v>1</v>
      </c>
      <c r="E24" s="2" t="str">
        <f aca="false">IF(C24&gt;=D24,"够","差 "&amp;(D24-C24))</f>
        <v>差 1</v>
      </c>
      <c r="F24" s="2"/>
    </row>
    <row r="25" customFormat="false" ht="15" hidden="false" customHeight="false" outlineLevel="0" collapsed="false">
      <c r="A25" s="2" t="s">
        <v>260</v>
      </c>
      <c r="B25" s="2" t="s">
        <v>259</v>
      </c>
      <c r="C25" s="2" t="n">
        <f aca="false">COUNTIF(标注表!$AI$6:$AI$305,A25)</f>
        <v>0</v>
      </c>
      <c r="D25" s="2" t="n">
        <v>1</v>
      </c>
      <c r="E25" s="2" t="str">
        <f aca="false">IF(C25&gt;=D25,"够","差 "&amp;(D25-C25))</f>
        <v>差 1</v>
      </c>
      <c r="F25" s="2"/>
    </row>
    <row r="26" customFormat="false" ht="15" hidden="false" customHeight="false" outlineLevel="0" collapsed="false">
      <c r="A26" s="2" t="s">
        <v>261</v>
      </c>
      <c r="B26" s="2" t="s">
        <v>259</v>
      </c>
      <c r="C26" s="2" t="n">
        <f aca="false">COUNTIF(标注表!$AI$6:$AI$305,A26)</f>
        <v>0</v>
      </c>
      <c r="D26" s="2" t="n">
        <v>1</v>
      </c>
      <c r="E26" s="2" t="str">
        <f aca="false">IF(C26&gt;=D26,"够","差 "&amp;(D26-C26))</f>
        <v>差 1</v>
      </c>
      <c r="F26" s="2"/>
    </row>
    <row r="27" customFormat="false" ht="15" hidden="false" customHeight="false" outlineLevel="0" collapsed="false">
      <c r="A27" s="2" t="s">
        <v>262</v>
      </c>
      <c r="B27" s="2" t="s">
        <v>256</v>
      </c>
      <c r="C27" s="2" t="n">
        <f aca="false">COUNTIF(标注表!$AI$6:$AI$305,A27)</f>
        <v>0</v>
      </c>
      <c r="D27" s="2" t="n">
        <v>2</v>
      </c>
      <c r="E27" s="2" t="str">
        <f aca="false">IF(C27&gt;=D27,"够","差 "&amp;(D27-C27))</f>
        <v>差 2</v>
      </c>
      <c r="F27" s="2"/>
    </row>
    <row r="28" customFormat="false" ht="15" hidden="false" customHeight="false" outlineLevel="0" collapsed="false">
      <c r="A28" s="2" t="s">
        <v>263</v>
      </c>
      <c r="B28" s="2" t="s">
        <v>256</v>
      </c>
      <c r="C28" s="2" t="n">
        <f aca="false">COUNTIF(标注表!$AI$6:$AI$305,A28)</f>
        <v>0</v>
      </c>
      <c r="D28" s="2" t="n">
        <v>2</v>
      </c>
      <c r="E28" s="2" t="str">
        <f aca="false">IF(C28&gt;=D28,"够","差 "&amp;(D28-C28))</f>
        <v>差 2</v>
      </c>
      <c r="F28" s="2"/>
    </row>
    <row r="29" customFormat="false" ht="28.5" hidden="false" customHeight="true" outlineLevel="0" collapsed="false">
      <c r="A29" s="2" t="s">
        <v>264</v>
      </c>
      <c r="B29" s="2" t="s">
        <v>265</v>
      </c>
      <c r="C29" s="2" t="n">
        <f aca="false">COUNTIF(标注表!$AI$6:$AI$305,A29)</f>
        <v>0</v>
      </c>
      <c r="D29" s="2" t="n">
        <v>2</v>
      </c>
      <c r="E29" s="2" t="str">
        <f aca="false">IF(C29&gt;=D29,"够","差 "&amp;(D29-C29))</f>
        <v>差 2</v>
      </c>
      <c r="F29" s="2"/>
    </row>
    <row r="30" customFormat="false" ht="28.5" hidden="false" customHeight="true" outlineLevel="0" collapsed="false">
      <c r="A30" s="2" t="s">
        <v>266</v>
      </c>
      <c r="B30" s="2" t="s">
        <v>265</v>
      </c>
      <c r="C30" s="2" t="n">
        <f aca="false">COUNTIF(标注表!$AI$6:$AI$305,A30)</f>
        <v>0</v>
      </c>
      <c r="D30" s="2" t="n">
        <v>2</v>
      </c>
      <c r="E30" s="2" t="str">
        <f aca="false">IF(C30&gt;=D30,"够","差 "&amp;(D30-C30))</f>
        <v>差 2</v>
      </c>
      <c r="F30" s="2"/>
    </row>
    <row r="31" customFormat="false" ht="15" hidden="false" customHeight="false" outlineLevel="0" collapsed="false">
      <c r="A31" s="2" t="s">
        <v>267</v>
      </c>
      <c r="B31" s="2" t="s">
        <v>259</v>
      </c>
      <c r="C31" s="2" t="n">
        <f aca="false">COUNTIF(标注表!$AI$6:$AI$305,A31)</f>
        <v>0</v>
      </c>
      <c r="D31" s="2" t="n">
        <v>1</v>
      </c>
      <c r="E31" s="2" t="str">
        <f aca="false">IF(C31&gt;=D31,"够","差 "&amp;(D31-C31))</f>
        <v>差 1</v>
      </c>
      <c r="F31" s="2"/>
    </row>
    <row r="32" customFormat="false" ht="15" hidden="false" customHeight="false" outlineLevel="0" collapsed="false">
      <c r="A32" s="2" t="s">
        <v>268</v>
      </c>
      <c r="B32" s="2" t="s">
        <v>259</v>
      </c>
      <c r="C32" s="2" t="n">
        <f aca="false">COUNTIF(标注表!$AI$6:$AI$305,A32)</f>
        <v>0</v>
      </c>
      <c r="D32" s="2" t="n">
        <v>1</v>
      </c>
      <c r="E32" s="2" t="str">
        <f aca="false">IF(C32&gt;=D32,"够","差 "&amp;(D32-C32))</f>
        <v>差 1</v>
      </c>
      <c r="F32" s="2"/>
    </row>
    <row r="33" customFormat="false" ht="15" hidden="false" customHeight="false" outlineLevel="0" collapsed="false">
      <c r="A33" s="2" t="s">
        <v>269</v>
      </c>
      <c r="B33" s="2" t="s">
        <v>259</v>
      </c>
      <c r="C33" s="2" t="n">
        <f aca="false">COUNTIF(标注表!$AI$6:$AI$305,A33)</f>
        <v>0</v>
      </c>
      <c r="D33" s="2" t="n">
        <v>1</v>
      </c>
      <c r="E33" s="2" t="str">
        <f aca="false">IF(C33&gt;=D33,"够","差 "&amp;(D33-C33))</f>
        <v>差 1</v>
      </c>
      <c r="F33" s="2"/>
    </row>
    <row r="34" customFormat="false" ht="15" hidden="false" customHeight="false" outlineLevel="0" collapsed="false">
      <c r="A34" s="2" t="s">
        <v>270</v>
      </c>
      <c r="B34" s="2" t="s">
        <v>259</v>
      </c>
      <c r="C34" s="2" t="n">
        <f aca="false">COUNTIF(标注表!$AI$6:$AI$305,A34)</f>
        <v>0</v>
      </c>
      <c r="D34" s="2" t="n">
        <v>1</v>
      </c>
      <c r="E34" s="2" t="str">
        <f aca="false">IF(C34&gt;=D34,"够","差 "&amp;(D34-C34))</f>
        <v>差 1</v>
      </c>
      <c r="F34" s="2"/>
    </row>
    <row r="35" customFormat="false" ht="15" hidden="false" customHeight="false" outlineLevel="0" collapsed="false">
      <c r="A35" s="2" t="s">
        <v>271</v>
      </c>
      <c r="B35" s="2" t="s">
        <v>259</v>
      </c>
      <c r="C35" s="2" t="n">
        <f aca="false">COUNTIF(标注表!$AI$6:$AI$305,A35)</f>
        <v>0</v>
      </c>
      <c r="D35" s="2" t="n">
        <v>1</v>
      </c>
      <c r="E35" s="2" t="str">
        <f aca="false">IF(C35&gt;=D35,"够","差 "&amp;(D35-C35))</f>
        <v>差 1</v>
      </c>
      <c r="F35" s="2"/>
    </row>
    <row r="36" customFormat="false" ht="15" hidden="false" customHeight="false" outlineLevel="0" collapsed="false">
      <c r="A36" s="2" t="s">
        <v>272</v>
      </c>
      <c r="B36" s="2" t="s">
        <v>259</v>
      </c>
      <c r="C36" s="2" t="n">
        <f aca="false">COUNTIF(标注表!$AI$6:$AI$305,A36)</f>
        <v>0</v>
      </c>
      <c r="D36" s="2" t="n">
        <v>1</v>
      </c>
      <c r="E36" s="2" t="str">
        <f aca="false">IF(C36&gt;=D36,"够","差 "&amp;(D36-C36))</f>
        <v>差 1</v>
      </c>
      <c r="F36" s="2"/>
    </row>
    <row r="37" customFormat="false" ht="15" hidden="false" customHeight="false" outlineLevel="0" collapsed="false">
      <c r="A37" s="2" t="s">
        <v>273</v>
      </c>
      <c r="B37" s="2" t="s">
        <v>259</v>
      </c>
      <c r="C37" s="2" t="n">
        <f aca="false">COUNTIF(标注表!$AI$6:$AI$305,A37)</f>
        <v>0</v>
      </c>
      <c r="D37" s="2" t="n">
        <v>1</v>
      </c>
      <c r="E37" s="2" t="str">
        <f aca="false">IF(C37&gt;=D37,"够","差 "&amp;(D37-C37))</f>
        <v>差 1</v>
      </c>
      <c r="F37" s="2"/>
    </row>
    <row r="38" customFormat="false" ht="15" hidden="false" customHeight="false" outlineLevel="0" collapsed="false">
      <c r="A38" s="2" t="s">
        <v>274</v>
      </c>
      <c r="B38" s="2" t="s">
        <v>259</v>
      </c>
      <c r="C38" s="2" t="n">
        <f aca="false">COUNTIF(标注表!$AI$6:$AI$305,A38)</f>
        <v>0</v>
      </c>
      <c r="D38" s="2" t="n">
        <v>1</v>
      </c>
      <c r="E38" s="2" t="str">
        <f aca="false">IF(C38&gt;=D38,"够","差 "&amp;(D38-C38))</f>
        <v>差 1</v>
      </c>
      <c r="F38" s="2"/>
    </row>
    <row r="39" customFormat="false" ht="28.5" hidden="false" customHeight="true" outlineLevel="0" collapsed="false">
      <c r="A39" s="2" t="s">
        <v>275</v>
      </c>
      <c r="B39" s="2" t="s">
        <v>265</v>
      </c>
      <c r="C39" s="2" t="n">
        <f aca="false">COUNTIF(标注表!$AI$6:$AI$305,A39)</f>
        <v>0</v>
      </c>
      <c r="D39" s="2" t="n">
        <v>2</v>
      </c>
      <c r="E39" s="2" t="str">
        <f aca="false">IF(C39&gt;=D39,"够","差 "&amp;(D39-C39))</f>
        <v>差 2</v>
      </c>
      <c r="F39" s="2"/>
    </row>
    <row r="40" customFormat="false" ht="15" hidden="false" customHeight="false" outlineLevel="0" collapsed="false">
      <c r="A40" s="2" t="s">
        <v>276</v>
      </c>
      <c r="B40" s="2" t="s">
        <v>277</v>
      </c>
      <c r="C40" s="2" t="n">
        <f aca="false">COUNTIF(标注表!$AI$6:$AI$305,A40)</f>
        <v>0</v>
      </c>
      <c r="D40" s="2" t="n">
        <v>1</v>
      </c>
      <c r="E40" s="2" t="str">
        <f aca="false">IF(C40&gt;=D40,"够","差 "&amp;(D40-C40))</f>
        <v>差 1</v>
      </c>
      <c r="F40" s="2"/>
    </row>
    <row r="41" customFormat="false" ht="15" hidden="false" customHeight="false" outlineLevel="0" collapsed="false">
      <c r="A41" s="2" t="s">
        <v>278</v>
      </c>
      <c r="B41" s="2" t="s">
        <v>259</v>
      </c>
      <c r="C41" s="2" t="n">
        <f aca="false">COUNTIF(标注表!$AI$6:$AI$305,A41)</f>
        <v>0</v>
      </c>
      <c r="D41" s="2" t="n">
        <v>1</v>
      </c>
      <c r="E41" s="2" t="str">
        <f aca="false">IF(C41&gt;=D41,"够","差 "&amp;(D41-C41))</f>
        <v>差 1</v>
      </c>
      <c r="F41" s="2"/>
    </row>
    <row r="42" customFormat="false" ht="15" hidden="false" customHeight="false" outlineLevel="0" collapsed="false">
      <c r="A42" s="2" t="s">
        <v>279</v>
      </c>
      <c r="B42" s="2" t="s">
        <v>277</v>
      </c>
      <c r="C42" s="2" t="n">
        <f aca="false">COUNTIF(标注表!$AI$6:$AI$305,A42)</f>
        <v>0</v>
      </c>
      <c r="D42" s="2" t="n">
        <v>1</v>
      </c>
      <c r="E42" s="2" t="str">
        <f aca="false">IF(C42&gt;=D42,"够","差 "&amp;(D42-C42))</f>
        <v>差 1</v>
      </c>
      <c r="F42" s="2"/>
    </row>
    <row r="43" customFormat="false" ht="15" hidden="false" customHeight="false" outlineLevel="0" collapsed="false">
      <c r="A43" s="2" t="s">
        <v>280</v>
      </c>
      <c r="B43" s="2" t="s">
        <v>277</v>
      </c>
      <c r="C43" s="2" t="n">
        <f aca="false">COUNTIF(标注表!$AI$6:$AI$305,A43)</f>
        <v>0</v>
      </c>
      <c r="D43" s="2" t="n">
        <v>1</v>
      </c>
      <c r="E43" s="2" t="str">
        <f aca="false">IF(C43&gt;=D43,"够","差 "&amp;(D43-C43))</f>
        <v>差 1</v>
      </c>
      <c r="F43" s="2"/>
    </row>
    <row r="44" customFormat="false" ht="15" hidden="false" customHeight="false" outlineLevel="0" collapsed="false">
      <c r="A44" s="2" t="s">
        <v>281</v>
      </c>
      <c r="B44" s="2" t="s">
        <v>277</v>
      </c>
      <c r="C44" s="2" t="n">
        <f aca="false">COUNTIF(标注表!$AI$6:$AI$305,A44)</f>
        <v>0</v>
      </c>
      <c r="D44" s="2" t="n">
        <v>1</v>
      </c>
      <c r="E44" s="2" t="str">
        <f aca="false">IF(C44&gt;=D44,"够","差 "&amp;(D44-C44))</f>
        <v>差 1</v>
      </c>
      <c r="F44" s="2"/>
    </row>
    <row r="45" customFormat="false" ht="15" hidden="false" customHeight="false" outlineLevel="0" collapsed="false">
      <c r="A45" s="2" t="s">
        <v>282</v>
      </c>
      <c r="B45" s="2" t="s">
        <v>277</v>
      </c>
      <c r="C45" s="2" t="n">
        <f aca="false">COUNTIF(标注表!$AI$6:$AI$305,A45)</f>
        <v>0</v>
      </c>
      <c r="D45" s="2" t="n">
        <v>1</v>
      </c>
      <c r="E45" s="2" t="str">
        <f aca="false">IF(C45&gt;=D45,"够","差 "&amp;(D45-C45))</f>
        <v>差 1</v>
      </c>
      <c r="F45" s="2"/>
    </row>
    <row r="46" customFormat="false" ht="15" hidden="false" customHeight="false" outlineLevel="0" collapsed="false">
      <c r="A46" s="2" t="s">
        <v>283</v>
      </c>
      <c r="B46" s="2" t="s">
        <v>277</v>
      </c>
      <c r="C46" s="2" t="n">
        <f aca="false">COUNTIF(标注表!$AI$6:$AI$305,A46)</f>
        <v>0</v>
      </c>
      <c r="D46" s="2" t="n">
        <v>1</v>
      </c>
      <c r="E46" s="2" t="str">
        <f aca="false">IF(C46&gt;=D46,"够","差 "&amp;(D46-C46))</f>
        <v>差 1</v>
      </c>
      <c r="F46" s="2"/>
    </row>
    <row r="47" customFormat="false" ht="15" hidden="false" customHeight="false" outlineLevel="0" collapsed="false">
      <c r="A47" s="2" t="s">
        <v>284</v>
      </c>
      <c r="B47" s="2" t="s">
        <v>277</v>
      </c>
      <c r="C47" s="2" t="n">
        <f aca="false">COUNTIF(标注表!$AI$6:$AI$305,A47)</f>
        <v>0</v>
      </c>
      <c r="D47" s="2" t="n">
        <v>1</v>
      </c>
      <c r="E47" s="2" t="str">
        <f aca="false">IF(C47&gt;=D47,"够","差 "&amp;(D47-C47))</f>
        <v>差 1</v>
      </c>
      <c r="F47" s="2"/>
    </row>
    <row r="48" customFormat="false" ht="15" hidden="false" customHeight="false" outlineLevel="0" collapsed="false">
      <c r="A48" s="2" t="s">
        <v>285</v>
      </c>
      <c r="B48" s="2" t="s">
        <v>277</v>
      </c>
      <c r="C48" s="2" t="n">
        <f aca="false">COUNTIF(标注表!$AI$6:$AI$305,A48)</f>
        <v>0</v>
      </c>
      <c r="D48" s="2" t="n">
        <v>1</v>
      </c>
      <c r="E48" s="2" t="str">
        <f aca="false">IF(C48&gt;=D48,"够","差 "&amp;(D48-C48))</f>
        <v>差 1</v>
      </c>
      <c r="F48" s="2"/>
    </row>
    <row r="49" customFormat="false" ht="15" hidden="false" customHeight="false" outlineLevel="0" collapsed="false">
      <c r="A49" s="2" t="s">
        <v>286</v>
      </c>
      <c r="B49" s="2" t="s">
        <v>287</v>
      </c>
      <c r="C49" s="2" t="n">
        <f aca="false">COUNTIF(标注表!$AI$6:$AI$305,A49)</f>
        <v>0</v>
      </c>
      <c r="D49" s="2" t="n">
        <v>1</v>
      </c>
      <c r="E49" s="2" t="str">
        <f aca="false">IF(C49&gt;=D49,"够","差 "&amp;(D49-C49))</f>
        <v>差 1</v>
      </c>
      <c r="F49" s="2"/>
    </row>
    <row r="50" customFormat="false" ht="15" hidden="false" customHeight="false" outlineLevel="0" collapsed="false">
      <c r="A50" s="2" t="s">
        <v>288</v>
      </c>
      <c r="B50" s="2" t="s">
        <v>287</v>
      </c>
      <c r="C50" s="2" t="n">
        <f aca="false">COUNTIF(标注表!$AI$6:$AI$305,A50)</f>
        <v>0</v>
      </c>
      <c r="D50" s="2" t="n">
        <v>1</v>
      </c>
      <c r="E50" s="2" t="str">
        <f aca="false">IF(C50&gt;=D50,"够","差 "&amp;(D50-C50))</f>
        <v>差 1</v>
      </c>
      <c r="F50" s="2"/>
    </row>
    <row r="51" customFormat="false" ht="15" hidden="false" customHeight="false" outlineLevel="0" collapsed="false">
      <c r="A51" s="2" t="s">
        <v>289</v>
      </c>
      <c r="B51" s="2" t="s">
        <v>287</v>
      </c>
      <c r="C51" s="2" t="n">
        <f aca="false">COUNTIF(标注表!$AI$6:$AI$305,A51)</f>
        <v>0</v>
      </c>
      <c r="D51" s="2" t="n">
        <v>1</v>
      </c>
      <c r="E51" s="2" t="str">
        <f aca="false">IF(C51&gt;=D51,"够","差 "&amp;(D51-C51))</f>
        <v>差 1</v>
      </c>
      <c r="F51" s="2"/>
    </row>
    <row r="52" customFormat="false" ht="15" hidden="false" customHeight="false" outlineLevel="0" collapsed="false">
      <c r="A52" s="2" t="s">
        <v>290</v>
      </c>
      <c r="B52" s="2" t="s">
        <v>287</v>
      </c>
      <c r="C52" s="2" t="n">
        <f aca="false">COUNTIF(标注表!$AI$6:$AI$305,A52)</f>
        <v>0</v>
      </c>
      <c r="D52" s="2" t="n">
        <v>1</v>
      </c>
      <c r="E52" s="2" t="str">
        <f aca="false">IF(C52&gt;=D52,"够","差 "&amp;(D52-C52))</f>
        <v>差 1</v>
      </c>
      <c r="F52" s="2"/>
    </row>
    <row r="53" customFormat="false" ht="15" hidden="false" customHeight="false" outlineLevel="0" collapsed="false">
      <c r="A53" s="2" t="s">
        <v>291</v>
      </c>
      <c r="B53" s="2" t="s">
        <v>287</v>
      </c>
      <c r="C53" s="2" t="n">
        <f aca="false">COUNTIF(标注表!$AI$6:$AI$305,A53)</f>
        <v>0</v>
      </c>
      <c r="D53" s="2" t="n">
        <v>1</v>
      </c>
      <c r="E53" s="2" t="str">
        <f aca="false">IF(C53&gt;=D53,"够","差 "&amp;(D53-C53))</f>
        <v>差 1</v>
      </c>
      <c r="F53" s="2"/>
    </row>
    <row r="54" customFormat="false" ht="15" hidden="false" customHeight="false" outlineLevel="0" collapsed="false">
      <c r="A54" s="2" t="s">
        <v>292</v>
      </c>
      <c r="B54" s="2" t="s">
        <v>287</v>
      </c>
      <c r="C54" s="2" t="n">
        <f aca="false">COUNTIF(标注表!$AI$6:$AI$305,A54)</f>
        <v>0</v>
      </c>
      <c r="D54" s="2" t="n">
        <v>1</v>
      </c>
      <c r="E54" s="2" t="str">
        <f aca="false">IF(C54&gt;=D54,"够","差 "&amp;(D54-C54))</f>
        <v>差 1</v>
      </c>
      <c r="F54" s="2"/>
    </row>
    <row r="55" customFormat="false" ht="15" hidden="false" customHeight="false" outlineLevel="0" collapsed="false">
      <c r="A55" s="2" t="s">
        <v>293</v>
      </c>
      <c r="B55" s="2" t="s">
        <v>259</v>
      </c>
      <c r="C55" s="2" t="n">
        <f aca="false">COUNTIF(标注表!$AI$6:$AI$305,A55)</f>
        <v>0</v>
      </c>
      <c r="D55" s="2" t="n">
        <v>1</v>
      </c>
      <c r="E55" s="2" t="str">
        <f aca="false">IF(C55&gt;=D55,"够","差 "&amp;(D55-C55))</f>
        <v>差 1</v>
      </c>
      <c r="F55" s="2"/>
    </row>
    <row r="56" customFormat="false" ht="15" hidden="false" customHeight="false" outlineLevel="0" collapsed="false">
      <c r="A56" s="2"/>
      <c r="B56" s="2"/>
      <c r="C56" s="2"/>
      <c r="D56" s="2"/>
      <c r="E56" s="2"/>
      <c r="F56" s="2"/>
    </row>
    <row r="57" customFormat="false" ht="55.5" hidden="false" customHeight="true" outlineLevel="0" collapsed="false">
      <c r="A57" s="5" t="s">
        <v>294</v>
      </c>
      <c r="B57" s="2"/>
      <c r="C57" s="2"/>
      <c r="D57" s="2"/>
      <c r="E57" s="2"/>
      <c r="F57" s="2"/>
    </row>
    <row r="58" customFormat="false" ht="15" hidden="false" customHeight="false" outlineLevel="0" collapsed="false">
      <c r="A58" s="28" t="s">
        <v>295</v>
      </c>
      <c r="B58" s="28" t="s">
        <v>251</v>
      </c>
      <c r="C58" s="28" t="s">
        <v>296</v>
      </c>
      <c r="D58" s="28" t="s">
        <v>297</v>
      </c>
      <c r="E58" s="28" t="s">
        <v>254</v>
      </c>
      <c r="F58" s="28" t="s">
        <v>233</v>
      </c>
    </row>
    <row r="59" customFormat="false" ht="15" hidden="false" customHeight="false" outlineLevel="0" collapsed="false">
      <c r="A59" s="2" t="s">
        <v>298</v>
      </c>
      <c r="B59" s="2" t="s">
        <v>299</v>
      </c>
      <c r="C59" s="2" t="n">
        <f aca="false">COUNTIF(标注表!$AX$6:$AX$305,A59)</f>
        <v>0</v>
      </c>
      <c r="D59" s="2" t="n">
        <f aca="false">C59+SUMPRODUCT(--ISNUMBER(SEARCH("; "&amp;A59&amp;"; ","; "&amp;标注表!$AZ$6:$AZ$305&amp;"; ")))</f>
        <v>0</v>
      </c>
      <c r="E59" s="27" t="s">
        <v>300</v>
      </c>
      <c r="F59" s="2" t="str">
        <f aca="false">IF(D59&gt;=1,"够","缺")</f>
        <v>缺</v>
      </c>
    </row>
    <row r="60" customFormat="false" ht="15" hidden="false" customHeight="false" outlineLevel="0" collapsed="false">
      <c r="A60" s="2" t="s">
        <v>301</v>
      </c>
      <c r="B60" s="2" t="s">
        <v>299</v>
      </c>
      <c r="C60" s="2" t="n">
        <f aca="false">COUNTIF(标注表!$AX$6:$AX$305,A60)</f>
        <v>0</v>
      </c>
      <c r="D60" s="2" t="n">
        <f aca="false">C60+SUMPRODUCT(--ISNUMBER(SEARCH("; "&amp;A60&amp;"; ","; "&amp;标注表!$AZ$6:$AZ$305&amp;"; ")))</f>
        <v>0</v>
      </c>
      <c r="E60" s="27" t="s">
        <v>300</v>
      </c>
      <c r="F60" s="2" t="str">
        <f aca="false">IF(D60&gt;=1,"够","缺")</f>
        <v>缺</v>
      </c>
    </row>
    <row r="61" customFormat="false" ht="15" hidden="false" customHeight="false" outlineLevel="0" collapsed="false">
      <c r="A61" s="2" t="s">
        <v>302</v>
      </c>
      <c r="B61" s="2" t="s">
        <v>299</v>
      </c>
      <c r="C61" s="2" t="n">
        <f aca="false">COUNTIF(标注表!$AX$6:$AX$305,A61)</f>
        <v>0</v>
      </c>
      <c r="D61" s="2" t="n">
        <f aca="false">C61+SUMPRODUCT(--ISNUMBER(SEARCH("; "&amp;A61&amp;"; ","; "&amp;标注表!$AZ$6:$AZ$305&amp;"; ")))</f>
        <v>0</v>
      </c>
      <c r="E61" s="27" t="s">
        <v>300</v>
      </c>
      <c r="F61" s="2" t="str">
        <f aca="false">IF(D61&gt;=1,"够","缺")</f>
        <v>缺</v>
      </c>
    </row>
    <row r="62" customFormat="false" ht="15" hidden="false" customHeight="false" outlineLevel="0" collapsed="false">
      <c r="A62" s="2" t="s">
        <v>303</v>
      </c>
      <c r="B62" s="2" t="s">
        <v>299</v>
      </c>
      <c r="C62" s="2" t="n">
        <f aca="false">COUNTIF(标注表!$AX$6:$AX$305,A62)</f>
        <v>0</v>
      </c>
      <c r="D62" s="2" t="n">
        <f aca="false">C62+SUMPRODUCT(--ISNUMBER(SEARCH("; "&amp;A62&amp;"; ","; "&amp;标注表!$AZ$6:$AZ$305&amp;"; ")))</f>
        <v>0</v>
      </c>
      <c r="E62" s="27" t="s">
        <v>300</v>
      </c>
      <c r="F62" s="2" t="str">
        <f aca="false">IF(D62&gt;=1,"够","缺")</f>
        <v>缺</v>
      </c>
    </row>
    <row r="63" customFormat="false" ht="15" hidden="false" customHeight="false" outlineLevel="0" collapsed="false">
      <c r="A63" s="2" t="s">
        <v>304</v>
      </c>
      <c r="B63" s="2" t="s">
        <v>299</v>
      </c>
      <c r="C63" s="2" t="n">
        <f aca="false">COUNTIF(标注表!$AX$6:$AX$305,A63)</f>
        <v>0</v>
      </c>
      <c r="D63" s="2" t="n">
        <f aca="false">C63+SUMPRODUCT(--ISNUMBER(SEARCH("; "&amp;A63&amp;"; ","; "&amp;标注表!$AZ$6:$AZ$305&amp;"; ")))</f>
        <v>0</v>
      </c>
      <c r="E63" s="27" t="s">
        <v>300</v>
      </c>
      <c r="F63" s="2" t="str">
        <f aca="false">IF(D63&gt;=1,"够","缺")</f>
        <v>缺</v>
      </c>
    </row>
    <row r="64" customFormat="false" ht="15" hidden="false" customHeight="false" outlineLevel="0" collapsed="false">
      <c r="A64" s="2" t="s">
        <v>305</v>
      </c>
      <c r="B64" s="2" t="s">
        <v>306</v>
      </c>
      <c r="C64" s="2" t="n">
        <f aca="false">COUNTIF(标注表!$AX$6:$AX$305,A64)</f>
        <v>0</v>
      </c>
      <c r="D64" s="2" t="n">
        <f aca="false">C64+SUMPRODUCT(--ISNUMBER(SEARCH("; "&amp;A64&amp;"; ","; "&amp;标注表!$AZ$6:$AZ$305&amp;"; ")))</f>
        <v>0</v>
      </c>
      <c r="E64" s="27" t="s">
        <v>300</v>
      </c>
      <c r="F64" s="2" t="str">
        <f aca="false">IF(D64&gt;=1,"够","缺")</f>
        <v>缺</v>
      </c>
    </row>
    <row r="65" customFormat="false" ht="15" hidden="false" customHeight="false" outlineLevel="0" collapsed="false">
      <c r="A65" s="2" t="s">
        <v>307</v>
      </c>
      <c r="B65" s="2" t="s">
        <v>306</v>
      </c>
      <c r="C65" s="2" t="n">
        <f aca="false">COUNTIF(标注表!$AX$6:$AX$305,A65)</f>
        <v>0</v>
      </c>
      <c r="D65" s="2" t="n">
        <f aca="false">C65+SUMPRODUCT(--ISNUMBER(SEARCH("; "&amp;A65&amp;"; ","; "&amp;标注表!$AZ$6:$AZ$305&amp;"; ")))</f>
        <v>0</v>
      </c>
      <c r="E65" s="27" t="s">
        <v>300</v>
      </c>
      <c r="F65" s="2" t="str">
        <f aca="false">IF(D65&gt;=1,"够","缺")</f>
        <v>缺</v>
      </c>
    </row>
    <row r="66" customFormat="false" ht="15" hidden="false" customHeight="false" outlineLevel="0" collapsed="false">
      <c r="A66" s="2" t="s">
        <v>308</v>
      </c>
      <c r="B66" s="2" t="s">
        <v>306</v>
      </c>
      <c r="C66" s="2" t="n">
        <f aca="false">COUNTIF(标注表!$AX$6:$AX$305,A66)</f>
        <v>0</v>
      </c>
      <c r="D66" s="2" t="n">
        <f aca="false">C66+SUMPRODUCT(--ISNUMBER(SEARCH("; "&amp;A66&amp;"; ","; "&amp;标注表!$AZ$6:$AZ$305&amp;"; ")))</f>
        <v>0</v>
      </c>
      <c r="E66" s="27" t="s">
        <v>300</v>
      </c>
      <c r="F66" s="2" t="str">
        <f aca="false">IF(D66&gt;=1,"够","缺")</f>
        <v>缺</v>
      </c>
    </row>
    <row r="67" customFormat="false" ht="15" hidden="false" customHeight="false" outlineLevel="0" collapsed="false">
      <c r="A67" s="2" t="s">
        <v>309</v>
      </c>
      <c r="B67" s="2" t="s">
        <v>306</v>
      </c>
      <c r="C67" s="2" t="n">
        <f aca="false">COUNTIF(标注表!$AX$6:$AX$305,A67)</f>
        <v>0</v>
      </c>
      <c r="D67" s="2" t="n">
        <f aca="false">C67+SUMPRODUCT(--ISNUMBER(SEARCH("; "&amp;A67&amp;"; ","; "&amp;标注表!$AZ$6:$AZ$305&amp;"; ")))</f>
        <v>0</v>
      </c>
      <c r="E67" s="27" t="s">
        <v>300</v>
      </c>
      <c r="F67" s="2" t="str">
        <f aca="false">IF(D67&gt;=1,"够","缺")</f>
        <v>缺</v>
      </c>
    </row>
    <row r="68" customFormat="false" ht="15" hidden="false" customHeight="false" outlineLevel="0" collapsed="false">
      <c r="A68" s="2" t="s">
        <v>310</v>
      </c>
      <c r="B68" s="2" t="s">
        <v>306</v>
      </c>
      <c r="C68" s="2" t="n">
        <f aca="false">COUNTIF(标注表!$AX$6:$AX$305,A68)</f>
        <v>0</v>
      </c>
      <c r="D68" s="2" t="n">
        <f aca="false">C68+SUMPRODUCT(--ISNUMBER(SEARCH("; "&amp;A68&amp;"; ","; "&amp;标注表!$AZ$6:$AZ$305&amp;"; ")))</f>
        <v>0</v>
      </c>
      <c r="E68" s="27" t="s">
        <v>300</v>
      </c>
      <c r="F68" s="2" t="str">
        <f aca="false">IF(D68&gt;=1,"够","缺")</f>
        <v>缺</v>
      </c>
    </row>
    <row r="69" customFormat="false" ht="15" hidden="false" customHeight="false" outlineLevel="0" collapsed="false">
      <c r="A69" s="2" t="s">
        <v>311</v>
      </c>
      <c r="B69" s="2" t="s">
        <v>306</v>
      </c>
      <c r="C69" s="2" t="n">
        <f aca="false">COUNTIF(标注表!$AX$6:$AX$305,A69)</f>
        <v>0</v>
      </c>
      <c r="D69" s="2" t="n">
        <f aca="false">C69+SUMPRODUCT(--ISNUMBER(SEARCH("; "&amp;A69&amp;"; ","; "&amp;标注表!$AZ$6:$AZ$305&amp;"; ")))</f>
        <v>0</v>
      </c>
      <c r="E69" s="27" t="s">
        <v>300</v>
      </c>
      <c r="F69" s="2" t="str">
        <f aca="false">IF(D69&gt;=1,"够","缺")</f>
        <v>缺</v>
      </c>
    </row>
    <row r="70" customFormat="false" ht="15" hidden="false" customHeight="false" outlineLevel="0" collapsed="false">
      <c r="A70" s="2" t="s">
        <v>312</v>
      </c>
      <c r="B70" s="2" t="s">
        <v>313</v>
      </c>
      <c r="C70" s="2" t="n">
        <f aca="false">COUNTIF(标注表!$AX$6:$AX$305,A70)</f>
        <v>0</v>
      </c>
      <c r="D70" s="2" t="n">
        <f aca="false">C70+SUMPRODUCT(--ISNUMBER(SEARCH("; "&amp;A70&amp;"; ","; "&amp;标注表!$AZ$6:$AZ$305&amp;"; ")))</f>
        <v>0</v>
      </c>
      <c r="E70" s="27" t="s">
        <v>300</v>
      </c>
      <c r="F70" s="2" t="str">
        <f aca="false">IF(D70&gt;=1,"够","缺")</f>
        <v>缺</v>
      </c>
    </row>
    <row r="71" customFormat="false" ht="15" hidden="false" customHeight="false" outlineLevel="0" collapsed="false">
      <c r="A71" s="2" t="s">
        <v>314</v>
      </c>
      <c r="B71" s="2" t="s">
        <v>313</v>
      </c>
      <c r="C71" s="2" t="n">
        <f aca="false">COUNTIF(标注表!$AX$6:$AX$305,A71)</f>
        <v>0</v>
      </c>
      <c r="D71" s="2" t="n">
        <f aca="false">C71+SUMPRODUCT(--ISNUMBER(SEARCH("; "&amp;A71&amp;"; ","; "&amp;标注表!$AZ$6:$AZ$305&amp;"; ")))</f>
        <v>0</v>
      </c>
      <c r="E71" s="27" t="s">
        <v>300</v>
      </c>
      <c r="F71" s="2" t="str">
        <f aca="false">IF(D71&gt;=1,"够","缺")</f>
        <v>缺</v>
      </c>
    </row>
    <row r="72" customFormat="false" ht="15" hidden="false" customHeight="false" outlineLevel="0" collapsed="false">
      <c r="A72" s="2" t="s">
        <v>315</v>
      </c>
      <c r="B72" s="2" t="s">
        <v>316</v>
      </c>
      <c r="C72" s="2" t="n">
        <f aca="false">COUNTIF(标注表!$AX$6:$AX$305,A72)</f>
        <v>0</v>
      </c>
      <c r="D72" s="2" t="n">
        <f aca="false">C72+SUMPRODUCT(--ISNUMBER(SEARCH("; "&amp;A72&amp;"; ","; "&amp;标注表!$AZ$6:$AZ$305&amp;"; ")))</f>
        <v>0</v>
      </c>
      <c r="E72" s="27" t="s">
        <v>300</v>
      </c>
      <c r="F72" s="2" t="str">
        <f aca="false">IF(D72&gt;=1,"够","缺")</f>
        <v>缺</v>
      </c>
    </row>
    <row r="73" customFormat="false" ht="15" hidden="false" customHeight="false" outlineLevel="0" collapsed="false">
      <c r="A73" s="2" t="s">
        <v>317</v>
      </c>
      <c r="B73" s="2" t="s">
        <v>318</v>
      </c>
      <c r="C73" s="2" t="n">
        <f aca="false">COUNTIF(标注表!$AX$6:$AX$305,A73)</f>
        <v>0</v>
      </c>
      <c r="D73" s="2" t="n">
        <f aca="false">C73+SUMPRODUCT(--ISNUMBER(SEARCH("; "&amp;A73&amp;"; ","; "&amp;标注表!$AZ$6:$AZ$305&amp;"; ")))</f>
        <v>0</v>
      </c>
      <c r="E73" s="27" t="s">
        <v>300</v>
      </c>
      <c r="F73" s="2" t="str">
        <f aca="false">IF(D73&gt;=1,"够","缺")</f>
        <v>缺</v>
      </c>
    </row>
    <row r="74" customFormat="false" ht="15" hidden="false" customHeight="false" outlineLevel="0" collapsed="false">
      <c r="A74" s="2" t="s">
        <v>319</v>
      </c>
      <c r="B74" s="2" t="s">
        <v>320</v>
      </c>
      <c r="C74" s="2" t="n">
        <f aca="false">COUNTIF(标注表!$AX$6:$AX$305,A74)</f>
        <v>0</v>
      </c>
      <c r="D74" s="2" t="n">
        <f aca="false">C74+SUMPRODUCT(--ISNUMBER(SEARCH("; "&amp;A74&amp;"; ","; "&amp;标注表!$AZ$6:$AZ$305&amp;"; ")))</f>
        <v>0</v>
      </c>
      <c r="E74" s="27" t="s">
        <v>300</v>
      </c>
      <c r="F74" s="2" t="str">
        <f aca="false">IF(D74&gt;=1,"够","缺")</f>
        <v>缺</v>
      </c>
    </row>
    <row r="75" customFormat="false" ht="15" hidden="false" customHeight="false" outlineLevel="0" collapsed="false">
      <c r="A75" s="2" t="s">
        <v>321</v>
      </c>
      <c r="B75" s="2" t="s">
        <v>320</v>
      </c>
      <c r="C75" s="2" t="n">
        <f aca="false">COUNTIF(标注表!$AX$6:$AX$305,A75)</f>
        <v>0</v>
      </c>
      <c r="D75" s="2" t="n">
        <f aca="false">C75+SUMPRODUCT(--ISNUMBER(SEARCH("; "&amp;A75&amp;"; ","; "&amp;标注表!$AZ$6:$AZ$305&amp;"; ")))</f>
        <v>0</v>
      </c>
      <c r="E75" s="27" t="s">
        <v>300</v>
      </c>
      <c r="F75" s="2" t="str">
        <f aca="false">IF(D75&gt;=1,"够","缺")</f>
        <v>缺</v>
      </c>
    </row>
    <row r="76" customFormat="false" ht="15" hidden="false" customHeight="false" outlineLevel="0" collapsed="false">
      <c r="A76" s="2" t="s">
        <v>322</v>
      </c>
      <c r="B76" s="2" t="s">
        <v>320</v>
      </c>
      <c r="C76" s="2" t="n">
        <f aca="false">COUNTIF(标注表!$AX$6:$AX$305,A76)</f>
        <v>0</v>
      </c>
      <c r="D76" s="2" t="n">
        <f aca="false">C76+SUMPRODUCT(--ISNUMBER(SEARCH("; "&amp;A76&amp;"; ","; "&amp;标注表!$AZ$6:$AZ$305&amp;"; ")))</f>
        <v>0</v>
      </c>
      <c r="E76" s="27" t="s">
        <v>300</v>
      </c>
      <c r="F76" s="2" t="str">
        <f aca="false">IF(D76&gt;=1,"够","缺")</f>
        <v>缺</v>
      </c>
    </row>
    <row r="77" customFormat="false" ht="15" hidden="false" customHeight="false" outlineLevel="0" collapsed="false">
      <c r="A77" s="2" t="s">
        <v>323</v>
      </c>
      <c r="B77" s="2" t="s">
        <v>320</v>
      </c>
      <c r="C77" s="2" t="n">
        <f aca="false">COUNTIF(标注表!$AX$6:$AX$305,A77)</f>
        <v>0</v>
      </c>
      <c r="D77" s="2" t="n">
        <f aca="false">C77+SUMPRODUCT(--ISNUMBER(SEARCH("; "&amp;A77&amp;"; ","; "&amp;标注表!$AZ$6:$AZ$305&amp;"; ")))</f>
        <v>0</v>
      </c>
      <c r="E77" s="27" t="s">
        <v>300</v>
      </c>
      <c r="F77" s="2" t="str">
        <f aca="false">IF(D77&gt;=1,"够","缺")</f>
        <v>缺</v>
      </c>
    </row>
    <row r="78" customFormat="false" ht="15" hidden="false" customHeight="false" outlineLevel="0" collapsed="false">
      <c r="A78" s="2" t="s">
        <v>324</v>
      </c>
      <c r="B78" s="2" t="s">
        <v>320</v>
      </c>
      <c r="C78" s="2" t="n">
        <f aca="false">COUNTIF(标注表!$AX$6:$AX$305,A78)</f>
        <v>0</v>
      </c>
      <c r="D78" s="2" t="n">
        <f aca="false">C78+SUMPRODUCT(--ISNUMBER(SEARCH("; "&amp;A78&amp;"; ","; "&amp;标注表!$AZ$6:$AZ$305&amp;"; ")))</f>
        <v>0</v>
      </c>
      <c r="E78" s="27" t="s">
        <v>300</v>
      </c>
      <c r="F78" s="2" t="str">
        <f aca="false">IF(D78&gt;=1,"够","缺")</f>
        <v>缺</v>
      </c>
    </row>
    <row r="79" customFormat="false" ht="15" hidden="false" customHeight="false" outlineLevel="0" collapsed="false">
      <c r="A79" s="2" t="s">
        <v>325</v>
      </c>
      <c r="B79" s="2" t="s">
        <v>320</v>
      </c>
      <c r="C79" s="2" t="n">
        <f aca="false">COUNTIF(标注表!$AX$6:$AX$305,A79)</f>
        <v>0</v>
      </c>
      <c r="D79" s="2" t="n">
        <f aca="false">C79+SUMPRODUCT(--ISNUMBER(SEARCH("; "&amp;A79&amp;"; ","; "&amp;标注表!$AZ$6:$AZ$305&amp;"; ")))</f>
        <v>0</v>
      </c>
      <c r="E79" s="27" t="s">
        <v>300</v>
      </c>
      <c r="F79" s="2" t="str">
        <f aca="false">IF(D79&gt;=1,"够","缺")</f>
        <v>缺</v>
      </c>
    </row>
    <row r="80" customFormat="false" ht="15" hidden="false" customHeight="false" outlineLevel="0" collapsed="false">
      <c r="A80" s="2" t="s">
        <v>326</v>
      </c>
      <c r="B80" s="2" t="s">
        <v>327</v>
      </c>
      <c r="C80" s="2" t="n">
        <f aca="false">COUNTIF(标注表!$AX$6:$AX$305,A80)</f>
        <v>0</v>
      </c>
      <c r="D80" s="2" t="n">
        <f aca="false">C80+SUMPRODUCT(--ISNUMBER(SEARCH("; "&amp;A80&amp;"; ","; "&amp;标注表!$AZ$6:$AZ$305&amp;"; ")))</f>
        <v>0</v>
      </c>
      <c r="E80" s="27" t="s">
        <v>300</v>
      </c>
      <c r="F80" s="2" t="str">
        <f aca="false">IF(D80&gt;=1,"够","缺")</f>
        <v>缺</v>
      </c>
    </row>
    <row r="81" customFormat="false" ht="15" hidden="false" customHeight="false" outlineLevel="0" collapsed="false">
      <c r="A81" s="2" t="s">
        <v>328</v>
      </c>
      <c r="B81" s="2" t="s">
        <v>327</v>
      </c>
      <c r="C81" s="2" t="n">
        <f aca="false">COUNTIF(标注表!$AX$6:$AX$305,A81)</f>
        <v>0</v>
      </c>
      <c r="D81" s="2" t="n">
        <f aca="false">C81+SUMPRODUCT(--ISNUMBER(SEARCH("; "&amp;A81&amp;"; ","; "&amp;标注表!$AZ$6:$AZ$305&amp;"; ")))</f>
        <v>0</v>
      </c>
      <c r="E81" s="27" t="s">
        <v>300</v>
      </c>
      <c r="F81" s="2" t="str">
        <f aca="false">IF(D81&gt;=1,"够","缺")</f>
        <v>缺</v>
      </c>
    </row>
    <row r="82" customFormat="false" ht="15" hidden="false" customHeight="false" outlineLevel="0" collapsed="false">
      <c r="A82" s="2" t="s">
        <v>329</v>
      </c>
      <c r="B82" s="2" t="s">
        <v>327</v>
      </c>
      <c r="C82" s="2" t="n">
        <f aca="false">COUNTIF(标注表!$AX$6:$AX$305,A82)</f>
        <v>0</v>
      </c>
      <c r="D82" s="2" t="n">
        <f aca="false">C82+SUMPRODUCT(--ISNUMBER(SEARCH("; "&amp;A82&amp;"; ","; "&amp;标注表!$AZ$6:$AZ$305&amp;"; ")))</f>
        <v>0</v>
      </c>
      <c r="E82" s="27" t="s">
        <v>300</v>
      </c>
      <c r="F82" s="2" t="str">
        <f aca="false">IF(D82&gt;=1,"够","缺")</f>
        <v>缺</v>
      </c>
    </row>
    <row r="83" customFormat="false" ht="15" hidden="false" customHeight="false" outlineLevel="0" collapsed="false">
      <c r="A83" s="2" t="s">
        <v>330</v>
      </c>
      <c r="B83" s="2" t="s">
        <v>327</v>
      </c>
      <c r="C83" s="2" t="n">
        <f aca="false">COUNTIF(标注表!$AX$6:$AX$305,A83)</f>
        <v>0</v>
      </c>
      <c r="D83" s="2" t="n">
        <f aca="false">C83+SUMPRODUCT(--ISNUMBER(SEARCH("; "&amp;A83&amp;"; ","; "&amp;标注表!$AZ$6:$AZ$305&amp;"; ")))</f>
        <v>0</v>
      </c>
      <c r="E83" s="27" t="s">
        <v>300</v>
      </c>
      <c r="F83" s="2" t="str">
        <f aca="false">IF(D83&gt;=1,"够","缺")</f>
        <v>缺</v>
      </c>
    </row>
    <row r="84" customFormat="false" ht="15" hidden="false" customHeight="false" outlineLevel="0" collapsed="false">
      <c r="A84" s="2" t="s">
        <v>331</v>
      </c>
      <c r="B84" s="2" t="s">
        <v>327</v>
      </c>
      <c r="C84" s="2" t="n">
        <f aca="false">COUNTIF(标注表!$AX$6:$AX$305,A84)</f>
        <v>0</v>
      </c>
      <c r="D84" s="2" t="n">
        <f aca="false">C84+SUMPRODUCT(--ISNUMBER(SEARCH("; "&amp;A84&amp;"; ","; "&amp;标注表!$AZ$6:$AZ$305&amp;"; ")))</f>
        <v>0</v>
      </c>
      <c r="E84" s="27" t="s">
        <v>300</v>
      </c>
      <c r="F84" s="2" t="str">
        <f aca="false">IF(D84&gt;=1,"够","缺")</f>
        <v>缺</v>
      </c>
    </row>
    <row r="85" customFormat="false" ht="15" hidden="false" customHeight="false" outlineLevel="0" collapsed="false">
      <c r="A85" s="2" t="s">
        <v>332</v>
      </c>
      <c r="B85" s="2" t="s">
        <v>327</v>
      </c>
      <c r="C85" s="2" t="n">
        <f aca="false">COUNTIF(标注表!$AX$6:$AX$305,A85)</f>
        <v>0</v>
      </c>
      <c r="D85" s="2" t="n">
        <f aca="false">C85+SUMPRODUCT(--ISNUMBER(SEARCH("; "&amp;A85&amp;"; ","; "&amp;标注表!$AZ$6:$AZ$305&amp;"; ")))</f>
        <v>0</v>
      </c>
      <c r="E85" s="27" t="s">
        <v>300</v>
      </c>
      <c r="F85" s="2" t="str">
        <f aca="false">IF(D85&gt;=1,"够","缺")</f>
        <v>缺</v>
      </c>
    </row>
    <row r="86" customFormat="false" ht="15" hidden="false" customHeight="false" outlineLevel="0" collapsed="false">
      <c r="A86" s="2" t="s">
        <v>333</v>
      </c>
      <c r="B86" s="2" t="s">
        <v>327</v>
      </c>
      <c r="C86" s="2" t="n">
        <f aca="false">COUNTIF(标注表!$AX$6:$AX$305,A86)</f>
        <v>0</v>
      </c>
      <c r="D86" s="2" t="n">
        <f aca="false">C86+SUMPRODUCT(--ISNUMBER(SEARCH("; "&amp;A86&amp;"; ","; "&amp;标注表!$AZ$6:$AZ$305&amp;"; ")))</f>
        <v>0</v>
      </c>
      <c r="E86" s="27" t="s">
        <v>300</v>
      </c>
      <c r="F86" s="2" t="str">
        <f aca="false">IF(D86&gt;=1,"够","缺")</f>
        <v>缺</v>
      </c>
    </row>
    <row r="87" customFormat="false" ht="15" hidden="false" customHeight="false" outlineLevel="0" collapsed="false">
      <c r="A87" s="2" t="s">
        <v>334</v>
      </c>
      <c r="B87" s="2" t="s">
        <v>327</v>
      </c>
      <c r="C87" s="2" t="n">
        <f aca="false">COUNTIF(标注表!$AX$6:$AX$305,A87)</f>
        <v>0</v>
      </c>
      <c r="D87" s="2" t="n">
        <f aca="false">C87+SUMPRODUCT(--ISNUMBER(SEARCH("; "&amp;A87&amp;"; ","; "&amp;标注表!$AZ$6:$AZ$305&amp;"; ")))</f>
        <v>0</v>
      </c>
      <c r="E87" s="27" t="s">
        <v>300</v>
      </c>
      <c r="F87" s="2" t="str">
        <f aca="false">IF(D87&gt;=1,"够","缺")</f>
        <v>缺</v>
      </c>
    </row>
    <row r="88" customFormat="false" ht="15" hidden="false" customHeight="false" outlineLevel="0" collapsed="false">
      <c r="A88" s="2" t="s">
        <v>335</v>
      </c>
      <c r="B88" s="2" t="s">
        <v>327</v>
      </c>
      <c r="C88" s="2" t="n">
        <f aca="false">COUNTIF(标注表!$AX$6:$AX$305,A88)</f>
        <v>0</v>
      </c>
      <c r="D88" s="2" t="n">
        <f aca="false">C88+SUMPRODUCT(--ISNUMBER(SEARCH("; "&amp;A88&amp;"; ","; "&amp;标注表!$AZ$6:$AZ$305&amp;"; ")))</f>
        <v>0</v>
      </c>
      <c r="E88" s="27" t="s">
        <v>300</v>
      </c>
      <c r="F88" s="2" t="str">
        <f aca="false">IF(D88&gt;=1,"够","缺")</f>
        <v>缺</v>
      </c>
    </row>
    <row r="89" customFormat="false" ht="15" hidden="false" customHeight="false" outlineLevel="0" collapsed="false">
      <c r="A89" s="2" t="s">
        <v>336</v>
      </c>
      <c r="B89" s="2" t="s">
        <v>327</v>
      </c>
      <c r="C89" s="2" t="n">
        <f aca="false">COUNTIF(标注表!$AX$6:$AX$305,A89)</f>
        <v>0</v>
      </c>
      <c r="D89" s="2" t="n">
        <f aca="false">C89+SUMPRODUCT(--ISNUMBER(SEARCH("; "&amp;A89&amp;"; ","; "&amp;标注表!$AZ$6:$AZ$305&amp;"; ")))</f>
        <v>0</v>
      </c>
      <c r="E89" s="27" t="s">
        <v>300</v>
      </c>
      <c r="F89" s="2" t="str">
        <f aca="false">IF(D89&gt;=1,"够","缺")</f>
        <v>缺</v>
      </c>
    </row>
    <row r="90" customFormat="false" ht="15" hidden="false" customHeight="false" outlineLevel="0" collapsed="false">
      <c r="A90" s="2" t="s">
        <v>337</v>
      </c>
      <c r="B90" s="2" t="s">
        <v>318</v>
      </c>
      <c r="C90" s="2" t="n">
        <f aca="false">COUNTIF(标注表!$AX$6:$AX$305,A90)</f>
        <v>0</v>
      </c>
      <c r="D90" s="2" t="n">
        <f aca="false">C90+SUMPRODUCT(--ISNUMBER(SEARCH("; "&amp;A90&amp;"; ","; "&amp;标注表!$AZ$6:$AZ$305&amp;"; ")))</f>
        <v>0</v>
      </c>
      <c r="E90" s="27" t="s">
        <v>300</v>
      </c>
      <c r="F90" s="2" t="str">
        <f aca="false">IF(D90&gt;=1,"够","缺")</f>
        <v>缺</v>
      </c>
    </row>
    <row r="91" customFormat="false" ht="15" hidden="false" customHeight="false" outlineLevel="0" collapsed="false">
      <c r="A91" s="2" t="s">
        <v>147</v>
      </c>
      <c r="B91" s="2" t="s">
        <v>318</v>
      </c>
      <c r="C91" s="2" t="n">
        <f aca="false">COUNTIF(标注表!$AX$6:$AX$305,A91)</f>
        <v>0</v>
      </c>
      <c r="D91" s="2" t="n">
        <f aca="false">C91+SUMPRODUCT(--ISNUMBER(SEARCH("; "&amp;A91&amp;"; ","; "&amp;标注表!$AZ$6:$AZ$305&amp;"; ")))</f>
        <v>0</v>
      </c>
      <c r="E91" s="27" t="s">
        <v>300</v>
      </c>
      <c r="F91" s="2" t="str">
        <f aca="false">IF(D91&gt;=1,"够","缺")</f>
        <v>缺</v>
      </c>
    </row>
    <row r="92" customFormat="false" ht="15" hidden="false" customHeight="false" outlineLevel="0" collapsed="false">
      <c r="A92" s="2" t="s">
        <v>338</v>
      </c>
      <c r="B92" s="2" t="s">
        <v>318</v>
      </c>
      <c r="C92" s="2" t="n">
        <f aca="false">COUNTIF(标注表!$AX$6:$AX$305,A92)</f>
        <v>0</v>
      </c>
      <c r="D92" s="2" t="n">
        <f aca="false">C92+SUMPRODUCT(--ISNUMBER(SEARCH("; "&amp;A92&amp;"; ","; "&amp;标注表!$AZ$6:$AZ$305&amp;"; ")))</f>
        <v>0</v>
      </c>
      <c r="E92" s="27" t="s">
        <v>300</v>
      </c>
      <c r="F92" s="2" t="str">
        <f aca="false">IF(D92&gt;=1,"够","缺")</f>
        <v>缺</v>
      </c>
    </row>
    <row r="93" customFormat="false" ht="15" hidden="false" customHeight="false" outlineLevel="0" collapsed="false">
      <c r="A93" s="2" t="s">
        <v>339</v>
      </c>
      <c r="B93" s="2" t="s">
        <v>118</v>
      </c>
      <c r="C93" s="2" t="n">
        <f aca="false">COUNTIF(标注表!$AX$6:$AX$305,A93)</f>
        <v>0</v>
      </c>
      <c r="D93" s="2" t="n">
        <f aca="false">C93+SUMPRODUCT(--ISNUMBER(SEARCH("; "&amp;A93&amp;"; ","; "&amp;标注表!$AZ$6:$AZ$305&amp;"; ")))</f>
        <v>0</v>
      </c>
      <c r="E93" s="27" t="s">
        <v>340</v>
      </c>
      <c r="F93" s="2" t="str">
        <f aca="false">IF(C93&gt;=1,"够","缺")</f>
        <v>缺</v>
      </c>
    </row>
    <row r="94" customFormat="false" ht="15" hidden="false" customHeight="false" outlineLevel="0" collapsed="false">
      <c r="A94" s="2" t="s">
        <v>341</v>
      </c>
      <c r="B94" s="2" t="s">
        <v>316</v>
      </c>
      <c r="C94" s="2" t="n">
        <f aca="false">COUNTIF(标注表!$AX$6:$AX$305,A94)</f>
        <v>0</v>
      </c>
      <c r="D94" s="2" t="n">
        <f aca="false">C94+SUMPRODUCT(--ISNUMBER(SEARCH("; "&amp;A94&amp;"; ","; "&amp;标注表!$AZ$6:$AZ$305&amp;"; ")))</f>
        <v>0</v>
      </c>
      <c r="E94" s="27" t="s">
        <v>300</v>
      </c>
      <c r="F94" s="2" t="str">
        <f aca="false">IF(D94&gt;=1,"够","缺")</f>
        <v>缺</v>
      </c>
    </row>
    <row r="95" customFormat="false" ht="15" hidden="false" customHeight="false" outlineLevel="0" collapsed="false">
      <c r="A95" s="2" t="s">
        <v>342</v>
      </c>
      <c r="B95" s="2" t="s">
        <v>118</v>
      </c>
      <c r="C95" s="2" t="n">
        <f aca="false">COUNTIF(标注表!$AX$6:$AX$305,A95)</f>
        <v>0</v>
      </c>
      <c r="D95" s="2" t="n">
        <f aca="false">C95+SUMPRODUCT(--ISNUMBER(SEARCH("; "&amp;A95&amp;"; ","; "&amp;标注表!$AZ$6:$AZ$305&amp;"; ")))</f>
        <v>0</v>
      </c>
      <c r="E95" s="27" t="s">
        <v>340</v>
      </c>
      <c r="F95" s="2" t="str">
        <f aca="false">IF(C95&gt;=1,"够","缺")</f>
        <v>缺</v>
      </c>
    </row>
    <row r="96" customFormat="false" ht="15" hidden="false" customHeight="false" outlineLevel="0" collapsed="false">
      <c r="A96" s="2" t="s">
        <v>343</v>
      </c>
      <c r="B96" s="2" t="s">
        <v>318</v>
      </c>
      <c r="C96" s="2" t="n">
        <f aca="false">COUNTIF(标注表!$AX$6:$AX$305,A96)</f>
        <v>0</v>
      </c>
      <c r="D96" s="2" t="n">
        <f aca="false">C96+SUMPRODUCT(--ISNUMBER(SEARCH("; "&amp;A96&amp;"; ","; "&amp;标注表!$AZ$6:$AZ$305&amp;"; ")))</f>
        <v>0</v>
      </c>
      <c r="E96" s="27" t="s">
        <v>300</v>
      </c>
      <c r="F96" s="2" t="str">
        <f aca="false">IF(D96&gt;=1,"够","缺")</f>
        <v>缺</v>
      </c>
    </row>
    <row r="97" customFormat="false" ht="15" hidden="false" customHeight="false" outlineLevel="0" collapsed="false">
      <c r="A97" s="2" t="s">
        <v>344</v>
      </c>
      <c r="B97" s="2" t="s">
        <v>118</v>
      </c>
      <c r="C97" s="2" t="n">
        <f aca="false">COUNTIF(标注表!$AX$6:$AX$305,A97)</f>
        <v>0</v>
      </c>
      <c r="D97" s="2" t="n">
        <f aca="false">C97+SUMPRODUCT(--ISNUMBER(SEARCH("; "&amp;A97&amp;"; ","; "&amp;标注表!$AZ$6:$AZ$305&amp;"; ")))</f>
        <v>0</v>
      </c>
      <c r="E97" s="27" t="s">
        <v>340</v>
      </c>
      <c r="F97" s="2" t="str">
        <f aca="false">IF(C97&gt;=1,"够","缺")</f>
        <v>缺</v>
      </c>
    </row>
    <row r="98" customFormat="false" ht="15" hidden="false" customHeight="false" outlineLevel="0" collapsed="false">
      <c r="A98" s="2" t="s">
        <v>345</v>
      </c>
      <c r="B98" s="2" t="s">
        <v>318</v>
      </c>
      <c r="C98" s="2" t="n">
        <f aca="false">COUNTIF(标注表!$AX$6:$AX$305,A98)</f>
        <v>0</v>
      </c>
      <c r="D98" s="2" t="n">
        <f aca="false">C98+SUMPRODUCT(--ISNUMBER(SEARCH("; "&amp;A98&amp;"; ","; "&amp;标注表!$AZ$6:$AZ$305&amp;"; ")))</f>
        <v>0</v>
      </c>
      <c r="E98" s="27" t="s">
        <v>300</v>
      </c>
      <c r="F98" s="2" t="str">
        <f aca="false">IF(D98&gt;=1,"够","缺")</f>
        <v>缺</v>
      </c>
    </row>
    <row r="99" customFormat="false" ht="15" hidden="false" customHeight="false" outlineLevel="0" collapsed="false">
      <c r="A99" s="2" t="s">
        <v>346</v>
      </c>
      <c r="B99" s="2" t="s">
        <v>347</v>
      </c>
      <c r="C99" s="2" t="n">
        <f aca="false">COUNTIF(标注表!$AX$6:$AX$305,A99)</f>
        <v>0</v>
      </c>
      <c r="D99" s="2" t="n">
        <f aca="false">C99+SUMPRODUCT(--ISNUMBER(SEARCH("; "&amp;A99&amp;"; ","; "&amp;标注表!$AZ$6:$AZ$305&amp;"; ")))</f>
        <v>0</v>
      </c>
      <c r="E99" s="27" t="s">
        <v>300</v>
      </c>
      <c r="F99" s="2" t="str">
        <f aca="false">IF(D99&gt;=1,"够","缺")</f>
        <v>缺</v>
      </c>
    </row>
    <row r="100" customFormat="false" ht="15" hidden="false" customHeight="false" outlineLevel="0" collapsed="false">
      <c r="A100" s="2" t="s">
        <v>348</v>
      </c>
      <c r="B100" s="2" t="s">
        <v>347</v>
      </c>
      <c r="C100" s="2" t="n">
        <f aca="false">COUNTIF(标注表!$AX$6:$AX$305,A100)</f>
        <v>0</v>
      </c>
      <c r="D100" s="2" t="n">
        <f aca="false">C100+SUMPRODUCT(--ISNUMBER(SEARCH("; "&amp;A100&amp;"; ","; "&amp;标注表!$AZ$6:$AZ$305&amp;"; ")))</f>
        <v>0</v>
      </c>
      <c r="E100" s="27" t="s">
        <v>300</v>
      </c>
      <c r="F100" s="2" t="str">
        <f aca="false">IF(D100&gt;=1,"够","缺")</f>
        <v>缺</v>
      </c>
    </row>
    <row r="101" customFormat="false" ht="15" hidden="false" customHeight="false" outlineLevel="0" collapsed="false">
      <c r="A101" s="2" t="s">
        <v>349</v>
      </c>
      <c r="B101" s="2" t="s">
        <v>316</v>
      </c>
      <c r="C101" s="2" t="n">
        <f aca="false">COUNTIF(标注表!$AX$6:$AX$305,A101)</f>
        <v>0</v>
      </c>
      <c r="D101" s="2" t="n">
        <f aca="false">C101+SUMPRODUCT(--ISNUMBER(SEARCH("; "&amp;A101&amp;"; ","; "&amp;标注表!$AZ$6:$AZ$305&amp;"; ")))</f>
        <v>0</v>
      </c>
      <c r="E101" s="27" t="s">
        <v>300</v>
      </c>
      <c r="F101" s="2" t="str">
        <f aca="false">IF(D101&gt;=1,"够","缺")</f>
        <v>缺</v>
      </c>
    </row>
    <row r="102" customFormat="false" ht="15" hidden="false" customHeight="false" outlineLevel="0" collapsed="false">
      <c r="A102" s="2" t="s">
        <v>350</v>
      </c>
      <c r="B102" s="2" t="s">
        <v>118</v>
      </c>
      <c r="C102" s="2" t="n">
        <f aca="false">COUNTIF(标注表!$AX$6:$AX$305,A102)</f>
        <v>0</v>
      </c>
      <c r="D102" s="2" t="n">
        <f aca="false">C102+SUMPRODUCT(--ISNUMBER(SEARCH("; "&amp;A102&amp;"; ","; "&amp;标注表!$AZ$6:$AZ$305&amp;"; ")))</f>
        <v>0</v>
      </c>
      <c r="E102" s="27" t="s">
        <v>340</v>
      </c>
      <c r="F102" s="2" t="str">
        <f aca="false">IF(C102&gt;=1,"够","缺")</f>
        <v>缺</v>
      </c>
    </row>
    <row r="103" customFormat="false" ht="15" hidden="false" customHeight="false" outlineLevel="0" collapsed="false">
      <c r="A103" s="2" t="s">
        <v>351</v>
      </c>
      <c r="B103" s="2" t="s">
        <v>327</v>
      </c>
      <c r="C103" s="2" t="n">
        <f aca="false">COUNTIF(标注表!$AX$6:$AX$305,A103)</f>
        <v>0</v>
      </c>
      <c r="D103" s="2" t="n">
        <f aca="false">C103+SUMPRODUCT(--ISNUMBER(SEARCH("; "&amp;A103&amp;"; ","; "&amp;标注表!$AZ$6:$AZ$305&amp;"; ")))</f>
        <v>0</v>
      </c>
      <c r="E103" s="27" t="s">
        <v>300</v>
      </c>
      <c r="F103" s="2" t="str">
        <f aca="false">IF(D103&gt;=1,"够","缺")</f>
        <v>缺</v>
      </c>
    </row>
    <row r="104" customFormat="false" ht="15" hidden="false" customHeight="false" outlineLevel="0" collapsed="false">
      <c r="A104" s="2" t="s">
        <v>352</v>
      </c>
      <c r="B104" s="2" t="s">
        <v>327</v>
      </c>
      <c r="C104" s="2" t="n">
        <f aca="false">COUNTIF(标注表!$AX$6:$AX$305,A104)</f>
        <v>0</v>
      </c>
      <c r="D104" s="2" t="n">
        <f aca="false">C104+SUMPRODUCT(--ISNUMBER(SEARCH("; "&amp;A104&amp;"; ","; "&amp;标注表!$AZ$6:$AZ$305&amp;"; ")))</f>
        <v>0</v>
      </c>
      <c r="E104" s="27" t="s">
        <v>300</v>
      </c>
      <c r="F104" s="2" t="str">
        <f aca="false">IF(D104&gt;=1,"够","缺")</f>
        <v>缺</v>
      </c>
    </row>
    <row r="105" customFormat="false" ht="15" hidden="false" customHeight="false" outlineLevel="0" collapsed="false">
      <c r="A105" s="2" t="s">
        <v>353</v>
      </c>
      <c r="B105" s="2" t="s">
        <v>327</v>
      </c>
      <c r="C105" s="2" t="n">
        <f aca="false">COUNTIF(标注表!$AX$6:$AX$305,A105)</f>
        <v>0</v>
      </c>
      <c r="D105" s="2" t="n">
        <f aca="false">C105+SUMPRODUCT(--ISNUMBER(SEARCH("; "&amp;A105&amp;"; ","; "&amp;标注表!$AZ$6:$AZ$305&amp;"; ")))</f>
        <v>0</v>
      </c>
      <c r="E105" s="27" t="s">
        <v>300</v>
      </c>
      <c r="F105" s="2" t="str">
        <f aca="false">IF(D105&gt;=1,"够","缺")</f>
        <v>缺</v>
      </c>
    </row>
    <row r="106" customFormat="false" ht="15" hidden="false" customHeight="false" outlineLevel="0" collapsed="false">
      <c r="A106" s="2" t="s">
        <v>354</v>
      </c>
      <c r="B106" s="2" t="s">
        <v>327</v>
      </c>
      <c r="C106" s="2" t="n">
        <f aca="false">COUNTIF(标注表!$AX$6:$AX$305,A106)</f>
        <v>0</v>
      </c>
      <c r="D106" s="2" t="n">
        <f aca="false">C106+SUMPRODUCT(--ISNUMBER(SEARCH("; "&amp;A106&amp;"; ","; "&amp;标注表!$AZ$6:$AZ$305&amp;"; ")))</f>
        <v>0</v>
      </c>
      <c r="E106" s="27" t="s">
        <v>300</v>
      </c>
      <c r="F106" s="2" t="str">
        <f aca="false">IF(D106&gt;=1,"够","缺")</f>
        <v>缺</v>
      </c>
    </row>
    <row r="107" customFormat="false" ht="15" hidden="false" customHeight="false" outlineLevel="0" collapsed="false">
      <c r="A107" s="2" t="s">
        <v>355</v>
      </c>
      <c r="B107" s="2" t="s">
        <v>318</v>
      </c>
      <c r="C107" s="2" t="n">
        <f aca="false">COUNTIF(标注表!$AX$6:$AX$305,A107)</f>
        <v>0</v>
      </c>
      <c r="D107" s="2" t="n">
        <f aca="false">C107+SUMPRODUCT(--ISNUMBER(SEARCH("; "&amp;A107&amp;"; ","; "&amp;标注表!$AZ$6:$AZ$305&amp;"; ")))</f>
        <v>0</v>
      </c>
      <c r="E107" s="27" t="s">
        <v>300</v>
      </c>
      <c r="F107" s="2" t="str">
        <f aca="false">IF(D107&gt;=1,"够","缺")</f>
        <v>缺</v>
      </c>
    </row>
    <row r="108" customFormat="false" ht="15" hidden="false" customHeight="false" outlineLevel="0" collapsed="false">
      <c r="A108" s="2" t="s">
        <v>356</v>
      </c>
      <c r="B108" s="2" t="s">
        <v>118</v>
      </c>
      <c r="C108" s="2" t="n">
        <f aca="false">COUNTIF(标注表!$AX$6:$AX$305,A108)</f>
        <v>0</v>
      </c>
      <c r="D108" s="2" t="n">
        <f aca="false">C108+SUMPRODUCT(--ISNUMBER(SEARCH("; "&amp;A108&amp;"; ","; "&amp;标注表!$AZ$6:$AZ$305&amp;"; ")))</f>
        <v>0</v>
      </c>
      <c r="E108" s="27" t="s">
        <v>340</v>
      </c>
      <c r="F108" s="2" t="str">
        <f aca="false">IF(C108&gt;=1,"够","缺")</f>
        <v>缺</v>
      </c>
    </row>
    <row r="109" customFormat="false" ht="15" hidden="false" customHeight="false" outlineLevel="0" collapsed="false">
      <c r="A109" s="2" t="s">
        <v>357</v>
      </c>
      <c r="B109" s="2" t="s">
        <v>318</v>
      </c>
      <c r="C109" s="2" t="n">
        <f aca="false">COUNTIF(标注表!$AX$6:$AX$305,A109)</f>
        <v>0</v>
      </c>
      <c r="D109" s="2" t="n">
        <f aca="false">C109+SUMPRODUCT(--ISNUMBER(SEARCH("; "&amp;A109&amp;"; ","; "&amp;标注表!$AZ$6:$AZ$305&amp;"; ")))</f>
        <v>0</v>
      </c>
      <c r="E109" s="27" t="s">
        <v>300</v>
      </c>
      <c r="F109" s="2" t="str">
        <f aca="false">IF(D109&gt;=1,"够","缺")</f>
        <v>缺</v>
      </c>
    </row>
    <row r="110" customFormat="false" ht="15" hidden="false" customHeight="false" outlineLevel="0" collapsed="false">
      <c r="A110" s="2" t="s">
        <v>358</v>
      </c>
      <c r="B110" s="2" t="s">
        <v>118</v>
      </c>
      <c r="C110" s="2" t="n">
        <f aca="false">COUNTIF(标注表!$AX$6:$AX$305,A110)</f>
        <v>0</v>
      </c>
      <c r="D110" s="2" t="n">
        <f aca="false">C110+SUMPRODUCT(--ISNUMBER(SEARCH("; "&amp;A110&amp;"; ","; "&amp;标注表!$AZ$6:$AZ$305&amp;"; ")))</f>
        <v>0</v>
      </c>
      <c r="E110" s="27" t="s">
        <v>340</v>
      </c>
      <c r="F110" s="2" t="str">
        <f aca="false">IF(C110&gt;=1,"够","缺")</f>
        <v>缺</v>
      </c>
    </row>
    <row r="111" customFormat="false" ht="15" hidden="false" customHeight="false" outlineLevel="0" collapsed="false">
      <c r="A111" s="2" t="s">
        <v>359</v>
      </c>
      <c r="B111" s="2" t="s">
        <v>118</v>
      </c>
      <c r="C111" s="2" t="n">
        <f aca="false">COUNTIF(标注表!$AX$6:$AX$305,A111)</f>
        <v>0</v>
      </c>
      <c r="D111" s="2" t="n">
        <f aca="false">C111+SUMPRODUCT(--ISNUMBER(SEARCH("; "&amp;A111&amp;"; ","; "&amp;标注表!$AZ$6:$AZ$305&amp;"; ")))</f>
        <v>0</v>
      </c>
      <c r="E111" s="27" t="s">
        <v>340</v>
      </c>
      <c r="F111" s="2" t="str">
        <f aca="false">IF(C111&gt;=1,"够","缺")</f>
        <v>缺</v>
      </c>
    </row>
    <row r="112" customFormat="false" ht="15" hidden="false" customHeight="false" outlineLevel="0" collapsed="false">
      <c r="A112" s="2" t="s">
        <v>360</v>
      </c>
      <c r="B112" s="2" t="s">
        <v>347</v>
      </c>
      <c r="C112" s="2" t="n">
        <f aca="false">COUNTIF(标注表!$AX$6:$AX$305,A112)</f>
        <v>0</v>
      </c>
      <c r="D112" s="2" t="n">
        <f aca="false">C112+SUMPRODUCT(--ISNUMBER(SEARCH("; "&amp;A112&amp;"; ","; "&amp;标注表!$AZ$6:$AZ$305&amp;"; ")))</f>
        <v>0</v>
      </c>
      <c r="E112" s="27" t="s">
        <v>300</v>
      </c>
      <c r="F112" s="2" t="str">
        <f aca="false">IF(D112&gt;=1,"够","缺")</f>
        <v>缺</v>
      </c>
    </row>
    <row r="113" customFormat="false" ht="15" hidden="false" customHeight="false" outlineLevel="0" collapsed="false">
      <c r="A113" s="2" t="s">
        <v>361</v>
      </c>
      <c r="B113" s="2" t="s">
        <v>318</v>
      </c>
      <c r="C113" s="2" t="n">
        <f aca="false">COUNTIF(标注表!$AX$6:$AX$305,A113)</f>
        <v>0</v>
      </c>
      <c r="D113" s="2" t="n">
        <f aca="false">C113+SUMPRODUCT(--ISNUMBER(SEARCH("; "&amp;A113&amp;"; ","; "&amp;标注表!$AZ$6:$AZ$305&amp;"; ")))</f>
        <v>0</v>
      </c>
      <c r="E113" s="27" t="s">
        <v>300</v>
      </c>
      <c r="F113" s="2" t="str">
        <f aca="false">IF(D113&gt;=1,"够","缺")</f>
        <v>缺</v>
      </c>
    </row>
    <row r="114" customFormat="false" ht="15" hidden="false" customHeight="false" outlineLevel="0" collapsed="false">
      <c r="A114" s="2" t="s">
        <v>362</v>
      </c>
      <c r="B114" s="2" t="s">
        <v>118</v>
      </c>
      <c r="C114" s="2" t="n">
        <f aca="false">COUNTIF(标注表!$AX$6:$AX$305,A114)</f>
        <v>0</v>
      </c>
      <c r="D114" s="2" t="n">
        <f aca="false">C114+SUMPRODUCT(--ISNUMBER(SEARCH("; "&amp;A114&amp;"; ","; "&amp;标注表!$AZ$6:$AZ$305&amp;"; ")))</f>
        <v>0</v>
      </c>
      <c r="E114" s="27" t="s">
        <v>340</v>
      </c>
      <c r="F114" s="2" t="str">
        <f aca="false">IF(C114&gt;=1,"够","缺")</f>
        <v>缺</v>
      </c>
    </row>
    <row r="115" customFormat="false" ht="15" hidden="false" customHeight="false" outlineLevel="0" collapsed="false">
      <c r="A115" s="2" t="s">
        <v>363</v>
      </c>
      <c r="B115" s="2" t="s">
        <v>118</v>
      </c>
      <c r="C115" s="2" t="n">
        <f aca="false">COUNTIF(标注表!$AX$6:$AX$305,A115)</f>
        <v>0</v>
      </c>
      <c r="D115" s="2" t="n">
        <f aca="false">C115+SUMPRODUCT(--ISNUMBER(SEARCH("; "&amp;A115&amp;"; ","; "&amp;标注表!$AZ$6:$AZ$305&amp;"; ")))</f>
        <v>0</v>
      </c>
      <c r="E115" s="27" t="s">
        <v>340</v>
      </c>
      <c r="F115" s="2" t="str">
        <f aca="false">IF(C115&gt;=1,"够","缺")</f>
        <v>缺</v>
      </c>
    </row>
    <row r="116" customFormat="false" ht="15" hidden="false" customHeight="false" outlineLevel="0" collapsed="false">
      <c r="A116" s="2" t="s">
        <v>364</v>
      </c>
      <c r="B116" s="2" t="s">
        <v>318</v>
      </c>
      <c r="C116" s="2" t="n">
        <f aca="false">COUNTIF(标注表!$AX$6:$AX$305,A116)</f>
        <v>0</v>
      </c>
      <c r="D116" s="2" t="n">
        <f aca="false">C116+SUMPRODUCT(--ISNUMBER(SEARCH("; "&amp;A116&amp;"; ","; "&amp;标注表!$AZ$6:$AZ$305&amp;"; ")))</f>
        <v>0</v>
      </c>
      <c r="E116" s="27" t="s">
        <v>300</v>
      </c>
      <c r="F116" s="2" t="str">
        <f aca="false">IF(D116&gt;=1,"够","缺")</f>
        <v>缺</v>
      </c>
    </row>
    <row r="117" customFormat="false" ht="15" hidden="false" customHeight="false" outlineLevel="0" collapsed="false">
      <c r="A117" s="2" t="s">
        <v>365</v>
      </c>
      <c r="B117" s="2" t="s">
        <v>118</v>
      </c>
      <c r="C117" s="2" t="n">
        <f aca="false">COUNTIF(标注表!$AX$6:$AX$305,A117)</f>
        <v>0</v>
      </c>
      <c r="D117" s="2" t="n">
        <f aca="false">C117+SUMPRODUCT(--ISNUMBER(SEARCH("; "&amp;A117&amp;"; ","; "&amp;标注表!$AZ$6:$AZ$305&amp;"; ")))</f>
        <v>0</v>
      </c>
      <c r="E117" s="27" t="s">
        <v>340</v>
      </c>
      <c r="F117" s="2" t="str">
        <f aca="false">IF(C117&gt;=1,"够","缺")</f>
        <v>缺</v>
      </c>
    </row>
    <row r="118" customFormat="false" ht="15" hidden="false" customHeight="false" outlineLevel="0" collapsed="false">
      <c r="A118" s="2" t="s">
        <v>366</v>
      </c>
      <c r="B118" s="2" t="s">
        <v>347</v>
      </c>
      <c r="C118" s="2" t="n">
        <f aca="false">COUNTIF(标注表!$AX$6:$AX$305,A118)</f>
        <v>0</v>
      </c>
      <c r="D118" s="2" t="n">
        <f aca="false">C118+SUMPRODUCT(--ISNUMBER(SEARCH("; "&amp;A118&amp;"; ","; "&amp;标注表!$AZ$6:$AZ$305&amp;"; ")))</f>
        <v>0</v>
      </c>
      <c r="E118" s="27" t="s">
        <v>300</v>
      </c>
      <c r="F118" s="2" t="str">
        <f aca="false">IF(D118&gt;=1,"够","缺")</f>
        <v>缺</v>
      </c>
    </row>
    <row r="119" customFormat="false" ht="15" hidden="false" customHeight="false" outlineLevel="0" collapsed="false">
      <c r="A119" s="2" t="s">
        <v>367</v>
      </c>
      <c r="B119" s="2" t="s">
        <v>118</v>
      </c>
      <c r="C119" s="2" t="n">
        <f aca="false">COUNTIF(标注表!$AX$6:$AX$305,A119)</f>
        <v>0</v>
      </c>
      <c r="D119" s="2" t="n">
        <f aca="false">C119+SUMPRODUCT(--ISNUMBER(SEARCH("; "&amp;A119&amp;"; ","; "&amp;标注表!$AZ$6:$AZ$305&amp;"; ")))</f>
        <v>0</v>
      </c>
      <c r="E119" s="27" t="s">
        <v>340</v>
      </c>
      <c r="F119" s="2" t="str">
        <f aca="false">IF(C119&gt;=1,"够","缺")</f>
        <v>缺</v>
      </c>
    </row>
    <row r="120" customFormat="false" ht="15" hidden="false" customHeight="false" outlineLevel="0" collapsed="false">
      <c r="A120" s="2" t="s">
        <v>368</v>
      </c>
      <c r="B120" s="2" t="s">
        <v>318</v>
      </c>
      <c r="C120" s="2" t="n">
        <f aca="false">COUNTIF(标注表!$AX$6:$AX$305,A120)</f>
        <v>0</v>
      </c>
      <c r="D120" s="2" t="n">
        <f aca="false">C120+SUMPRODUCT(--ISNUMBER(SEARCH("; "&amp;A120&amp;"; ","; "&amp;标注表!$AZ$6:$AZ$305&amp;"; ")))</f>
        <v>0</v>
      </c>
      <c r="E120" s="27" t="s">
        <v>300</v>
      </c>
      <c r="F120" s="2" t="str">
        <f aca="false">IF(D120&gt;=1,"够","缺")</f>
        <v>缺</v>
      </c>
    </row>
    <row r="121" customFormat="false" ht="15" hidden="false" customHeight="false" outlineLevel="0" collapsed="false">
      <c r="A121" s="2" t="s">
        <v>369</v>
      </c>
      <c r="B121" s="2" t="s">
        <v>318</v>
      </c>
      <c r="C121" s="2" t="n">
        <f aca="false">COUNTIF(标注表!$AX$6:$AX$305,A121)</f>
        <v>0</v>
      </c>
      <c r="D121" s="2" t="n">
        <f aca="false">C121+SUMPRODUCT(--ISNUMBER(SEARCH("; "&amp;A121&amp;"; ","; "&amp;标注表!$AZ$6:$AZ$305&amp;"; ")))</f>
        <v>0</v>
      </c>
      <c r="E121" s="27" t="s">
        <v>300</v>
      </c>
      <c r="F121" s="2" t="str">
        <f aca="false">IF(D121&gt;=1,"够","缺")</f>
        <v>缺</v>
      </c>
    </row>
    <row r="122" customFormat="false" ht="15" hidden="false" customHeight="false" outlineLevel="0" collapsed="false">
      <c r="A122" s="2" t="s">
        <v>370</v>
      </c>
      <c r="B122" s="2" t="s">
        <v>347</v>
      </c>
      <c r="C122" s="2" t="n">
        <f aca="false">COUNTIF(标注表!$AX$6:$AX$305,A122)</f>
        <v>0</v>
      </c>
      <c r="D122" s="2" t="n">
        <f aca="false">C122+SUMPRODUCT(--ISNUMBER(SEARCH("; "&amp;A122&amp;"; ","; "&amp;标注表!$AZ$6:$AZ$305&amp;"; ")))</f>
        <v>0</v>
      </c>
      <c r="E122" s="27" t="s">
        <v>300</v>
      </c>
      <c r="F122" s="2" t="str">
        <f aca="false">IF(D122&gt;=1,"够","缺")</f>
        <v>缺</v>
      </c>
    </row>
    <row r="123" customFormat="false" ht="15" hidden="false" customHeight="false" outlineLevel="0" collapsed="false">
      <c r="A123" s="2" t="s">
        <v>371</v>
      </c>
      <c r="B123" s="2" t="s">
        <v>372</v>
      </c>
      <c r="C123" s="2" t="n">
        <f aca="false">COUNTIF(标注表!$AX$6:$AX$305,A123)</f>
        <v>0</v>
      </c>
      <c r="D123" s="2" t="n">
        <f aca="false">C123+SUMPRODUCT(--ISNUMBER(SEARCH("; "&amp;A123&amp;"; ","; "&amp;标注表!$AZ$6:$AZ$305&amp;"; ")))</f>
        <v>0</v>
      </c>
      <c r="E123" s="27" t="s">
        <v>300</v>
      </c>
      <c r="F123" s="2" t="str">
        <f aca="false">IF(D123&gt;=1,"够","缺")</f>
        <v>缺</v>
      </c>
    </row>
    <row r="124" customFormat="false" ht="15" hidden="false" customHeight="false" outlineLevel="0" collapsed="false">
      <c r="A124" s="2" t="s">
        <v>373</v>
      </c>
      <c r="B124" s="2" t="s">
        <v>316</v>
      </c>
      <c r="C124" s="2" t="n">
        <f aca="false">COUNTIF(标注表!$AX$6:$AX$305,A124)</f>
        <v>0</v>
      </c>
      <c r="D124" s="2" t="n">
        <f aca="false">C124+SUMPRODUCT(--ISNUMBER(SEARCH("; "&amp;A124&amp;"; ","; "&amp;标注表!$AZ$6:$AZ$305&amp;"; ")))</f>
        <v>0</v>
      </c>
      <c r="E124" s="27" t="s">
        <v>300</v>
      </c>
      <c r="F124" s="2" t="str">
        <f aca="false">IF(D124&gt;=1,"够","缺")</f>
        <v>缺</v>
      </c>
    </row>
    <row r="125" customFormat="false" ht="15" hidden="false" customHeight="false" outlineLevel="0" collapsed="false">
      <c r="A125" s="2" t="s">
        <v>374</v>
      </c>
      <c r="B125" s="2" t="s">
        <v>347</v>
      </c>
      <c r="C125" s="2" t="n">
        <f aca="false">COUNTIF(标注表!$AX$6:$AX$305,A125)</f>
        <v>0</v>
      </c>
      <c r="D125" s="2" t="n">
        <f aca="false">C125+SUMPRODUCT(--ISNUMBER(SEARCH("; "&amp;A125&amp;"; ","; "&amp;标注表!$AZ$6:$AZ$305&amp;"; ")))</f>
        <v>0</v>
      </c>
      <c r="E125" s="27" t="s">
        <v>300</v>
      </c>
      <c r="F125" s="2" t="str">
        <f aca="false">IF(D125&gt;=1,"够","缺")</f>
        <v>缺</v>
      </c>
    </row>
    <row r="126" customFormat="false" ht="15" hidden="false" customHeight="false" outlineLevel="0" collapsed="false">
      <c r="A126" s="2" t="s">
        <v>375</v>
      </c>
      <c r="B126" s="2" t="s">
        <v>372</v>
      </c>
      <c r="C126" s="2" t="n">
        <f aca="false">COUNTIF(标注表!$AX$6:$AX$305,A126)</f>
        <v>0</v>
      </c>
      <c r="D126" s="2" t="n">
        <f aca="false">C126+SUMPRODUCT(--ISNUMBER(SEARCH("; "&amp;A126&amp;"; ","; "&amp;标注表!$AZ$6:$AZ$305&amp;"; ")))</f>
        <v>0</v>
      </c>
      <c r="E126" s="27" t="s">
        <v>300</v>
      </c>
      <c r="F126" s="2" t="str">
        <f aca="false">IF(D126&gt;=1,"够","缺")</f>
        <v>缺</v>
      </c>
    </row>
    <row r="127" customFormat="false" ht="15" hidden="false" customHeight="false" outlineLevel="0" collapsed="false">
      <c r="A127" s="2" t="s">
        <v>376</v>
      </c>
      <c r="B127" s="2" t="s">
        <v>318</v>
      </c>
      <c r="C127" s="2" t="n">
        <f aca="false">COUNTIF(标注表!$AX$6:$AX$305,A127)</f>
        <v>0</v>
      </c>
      <c r="D127" s="2" t="n">
        <f aca="false">C127+SUMPRODUCT(--ISNUMBER(SEARCH("; "&amp;A127&amp;"; ","; "&amp;标注表!$AZ$6:$AZ$305&amp;"; ")))</f>
        <v>0</v>
      </c>
      <c r="E127" s="27" t="s">
        <v>300</v>
      </c>
      <c r="F127" s="2" t="str">
        <f aca="false">IF(D127&gt;=1,"够","缺")</f>
        <v>缺</v>
      </c>
    </row>
    <row r="128" customFormat="false" ht="15" hidden="false" customHeight="false" outlineLevel="0" collapsed="false">
      <c r="A128" s="2" t="s">
        <v>377</v>
      </c>
      <c r="B128" s="2" t="s">
        <v>318</v>
      </c>
      <c r="C128" s="2" t="n">
        <f aca="false">COUNTIF(标注表!$AX$6:$AX$305,A128)</f>
        <v>0</v>
      </c>
      <c r="D128" s="2" t="n">
        <f aca="false">C128+SUMPRODUCT(--ISNUMBER(SEARCH("; "&amp;A128&amp;"; ","; "&amp;标注表!$AZ$6:$AZ$305&amp;"; ")))</f>
        <v>0</v>
      </c>
      <c r="E128" s="27" t="s">
        <v>300</v>
      </c>
      <c r="F128" s="2" t="str">
        <f aca="false">IF(D128&gt;=1,"够","缺")</f>
        <v>缺</v>
      </c>
    </row>
    <row r="129" customFormat="false" ht="15" hidden="false" customHeight="false" outlineLevel="0" collapsed="false">
      <c r="A129" s="2" t="s">
        <v>378</v>
      </c>
      <c r="B129" s="2" t="s">
        <v>316</v>
      </c>
      <c r="C129" s="2" t="n">
        <f aca="false">COUNTIF(标注表!$AX$6:$AX$305,A129)</f>
        <v>0</v>
      </c>
      <c r="D129" s="2" t="n">
        <f aca="false">C129+SUMPRODUCT(--ISNUMBER(SEARCH("; "&amp;A129&amp;"; ","; "&amp;标注表!$AZ$6:$AZ$305&amp;"; ")))</f>
        <v>0</v>
      </c>
      <c r="E129" s="27" t="s">
        <v>300</v>
      </c>
      <c r="F129" s="2" t="str">
        <f aca="false">IF(D129&gt;=1,"够","缺")</f>
        <v>缺</v>
      </c>
    </row>
    <row r="130" customFormat="false" ht="15" hidden="false" customHeight="false" outlineLevel="0" collapsed="false">
      <c r="A130" s="2" t="s">
        <v>379</v>
      </c>
      <c r="B130" s="2" t="s">
        <v>316</v>
      </c>
      <c r="C130" s="2" t="n">
        <f aca="false">COUNTIF(标注表!$AX$6:$AX$305,A130)</f>
        <v>0</v>
      </c>
      <c r="D130" s="2" t="n">
        <f aca="false">C130+SUMPRODUCT(--ISNUMBER(SEARCH("; "&amp;A130&amp;"; ","; "&amp;标注表!$AZ$6:$AZ$305&amp;"; ")))</f>
        <v>0</v>
      </c>
      <c r="E130" s="27" t="s">
        <v>300</v>
      </c>
      <c r="F130" s="2" t="str">
        <f aca="false">IF(D130&gt;=1,"够","缺")</f>
        <v>缺</v>
      </c>
    </row>
    <row r="131" customFormat="false" ht="15" hidden="false" customHeight="false" outlineLevel="0" collapsed="false">
      <c r="A131" s="2" t="s">
        <v>380</v>
      </c>
      <c r="B131" s="2" t="s">
        <v>316</v>
      </c>
      <c r="C131" s="2" t="n">
        <f aca="false">COUNTIF(标注表!$AX$6:$AX$305,A131)</f>
        <v>0</v>
      </c>
      <c r="D131" s="2" t="n">
        <f aca="false">C131+SUMPRODUCT(--ISNUMBER(SEARCH("; "&amp;A131&amp;"; ","; "&amp;标注表!$AZ$6:$AZ$305&amp;"; ")))</f>
        <v>0</v>
      </c>
      <c r="E131" s="27" t="s">
        <v>300</v>
      </c>
      <c r="F131" s="2" t="str">
        <f aca="false">IF(D131&gt;=1,"够","缺")</f>
        <v>缺</v>
      </c>
    </row>
    <row r="132" customFormat="false" ht="15" hidden="false" customHeight="false" outlineLevel="0" collapsed="false">
      <c r="A132" s="2" t="s">
        <v>381</v>
      </c>
      <c r="B132" s="2" t="s">
        <v>316</v>
      </c>
      <c r="C132" s="2" t="n">
        <f aca="false">COUNTIF(标注表!$AX$6:$AX$305,A132)</f>
        <v>0</v>
      </c>
      <c r="D132" s="2" t="n">
        <f aca="false">C132+SUMPRODUCT(--ISNUMBER(SEARCH("; "&amp;A132&amp;"; ","; "&amp;标注表!$AZ$6:$AZ$305&amp;"; ")))</f>
        <v>0</v>
      </c>
      <c r="E132" s="27" t="s">
        <v>300</v>
      </c>
      <c r="F132" s="2" t="str">
        <f aca="false">IF(D132&gt;=1,"够","缺")</f>
        <v>缺</v>
      </c>
    </row>
    <row r="133" customFormat="false" ht="15" hidden="false" customHeight="false" outlineLevel="0" collapsed="false">
      <c r="A133" s="2" t="s">
        <v>382</v>
      </c>
      <c r="B133" s="2" t="s">
        <v>316</v>
      </c>
      <c r="C133" s="2" t="n">
        <f aca="false">COUNTIF(标注表!$AX$6:$AX$305,A133)</f>
        <v>0</v>
      </c>
      <c r="D133" s="2" t="n">
        <f aca="false">C133+SUMPRODUCT(--ISNUMBER(SEARCH("; "&amp;A133&amp;"; ","; "&amp;标注表!$AZ$6:$AZ$305&amp;"; ")))</f>
        <v>0</v>
      </c>
      <c r="E133" s="27" t="s">
        <v>300</v>
      </c>
      <c r="F133" s="2" t="str">
        <f aca="false">IF(D133&gt;=1,"够","缺")</f>
        <v>缺</v>
      </c>
    </row>
    <row r="134" customFormat="false" ht="15" hidden="false" customHeight="false" outlineLevel="0" collapsed="false">
      <c r="A134" s="2" t="s">
        <v>383</v>
      </c>
      <c r="B134" s="2" t="s">
        <v>316</v>
      </c>
      <c r="C134" s="2" t="n">
        <f aca="false">COUNTIF(标注表!$AX$6:$AX$305,A134)</f>
        <v>0</v>
      </c>
      <c r="D134" s="2" t="n">
        <f aca="false">C134+SUMPRODUCT(--ISNUMBER(SEARCH("; "&amp;A134&amp;"; ","; "&amp;标注表!$AZ$6:$AZ$305&amp;"; ")))</f>
        <v>0</v>
      </c>
      <c r="E134" s="27" t="s">
        <v>300</v>
      </c>
      <c r="F134" s="2" t="str">
        <f aca="false">IF(D134&gt;=1,"够","缺")</f>
        <v>缺</v>
      </c>
    </row>
    <row r="135" customFormat="false" ht="15" hidden="false" customHeight="false" outlineLevel="0" collapsed="false">
      <c r="A135" s="2" t="s">
        <v>384</v>
      </c>
      <c r="B135" s="2" t="s">
        <v>372</v>
      </c>
      <c r="C135" s="2" t="n">
        <f aca="false">COUNTIF(标注表!$AX$6:$AX$305,A135)</f>
        <v>0</v>
      </c>
      <c r="D135" s="2" t="n">
        <f aca="false">C135+SUMPRODUCT(--ISNUMBER(SEARCH("; "&amp;A135&amp;"; ","; "&amp;标注表!$AZ$6:$AZ$305&amp;"; ")))</f>
        <v>0</v>
      </c>
      <c r="E135" s="27" t="s">
        <v>300</v>
      </c>
      <c r="F135" s="2" t="str">
        <f aca="false">IF(D135&gt;=1,"够","缺")</f>
        <v>缺</v>
      </c>
    </row>
    <row r="136" customFormat="false" ht="15" hidden="false" customHeight="false" outlineLevel="0" collapsed="false">
      <c r="A136" s="2" t="s">
        <v>385</v>
      </c>
      <c r="B136" s="2" t="s">
        <v>316</v>
      </c>
      <c r="C136" s="2" t="n">
        <f aca="false">COUNTIF(标注表!$AX$6:$AX$305,A136)</f>
        <v>0</v>
      </c>
      <c r="D136" s="2" t="n">
        <f aca="false">C136+SUMPRODUCT(--ISNUMBER(SEARCH("; "&amp;A136&amp;"; ","; "&amp;标注表!$AZ$6:$AZ$305&amp;"; ")))</f>
        <v>0</v>
      </c>
      <c r="E136" s="27" t="s">
        <v>300</v>
      </c>
      <c r="F136" s="2" t="str">
        <f aca="false">IF(D136&gt;=1,"够","缺")</f>
        <v>缺</v>
      </c>
    </row>
    <row r="137" customFormat="false" ht="15" hidden="false" customHeight="false" outlineLevel="0" collapsed="false">
      <c r="A137" s="2" t="s">
        <v>386</v>
      </c>
      <c r="B137" s="2" t="s">
        <v>387</v>
      </c>
      <c r="C137" s="2" t="n">
        <f aca="false">COUNTIF(标注表!$AX$6:$AX$305,A137)</f>
        <v>0</v>
      </c>
      <c r="D137" s="2" t="n">
        <f aca="false">C137+SUMPRODUCT(--ISNUMBER(SEARCH("; "&amp;A137&amp;"; ","; "&amp;标注表!$AZ$6:$AZ$305&amp;"; ")))</f>
        <v>0</v>
      </c>
      <c r="E137" s="27" t="s">
        <v>300</v>
      </c>
      <c r="F137" s="2" t="str">
        <f aca="false">IF(D137&gt;=1,"够","缺")</f>
        <v>缺</v>
      </c>
    </row>
    <row r="138" customFormat="false" ht="15" hidden="false" customHeight="false" outlineLevel="0" collapsed="false">
      <c r="A138" s="2" t="s">
        <v>388</v>
      </c>
      <c r="B138" s="2" t="s">
        <v>387</v>
      </c>
      <c r="C138" s="2" t="n">
        <f aca="false">COUNTIF(标注表!$AX$6:$AX$305,A138)</f>
        <v>0</v>
      </c>
      <c r="D138" s="2" t="n">
        <f aca="false">C138+SUMPRODUCT(--ISNUMBER(SEARCH("; "&amp;A138&amp;"; ","; "&amp;标注表!$AZ$6:$AZ$305&amp;"; ")))</f>
        <v>0</v>
      </c>
      <c r="E138" s="27" t="s">
        <v>300</v>
      </c>
      <c r="F138" s="2" t="str">
        <f aca="false">IF(D138&gt;=1,"够","缺")</f>
        <v>缺</v>
      </c>
    </row>
    <row r="139" customFormat="false" ht="15" hidden="false" customHeight="false" outlineLevel="0" collapsed="false">
      <c r="A139" s="2" t="s">
        <v>389</v>
      </c>
      <c r="B139" s="2" t="s">
        <v>372</v>
      </c>
      <c r="C139" s="2" t="n">
        <f aca="false">COUNTIF(标注表!$AX$6:$AX$305,A139)</f>
        <v>0</v>
      </c>
      <c r="D139" s="2" t="n">
        <f aca="false">C139+SUMPRODUCT(--ISNUMBER(SEARCH("; "&amp;A139&amp;"; ","; "&amp;标注表!$AZ$6:$AZ$305&amp;"; ")))</f>
        <v>0</v>
      </c>
      <c r="E139" s="27" t="s">
        <v>300</v>
      </c>
      <c r="F139" s="2" t="str">
        <f aca="false">IF(D139&gt;=1,"够","缺")</f>
        <v>缺</v>
      </c>
    </row>
    <row r="140" customFormat="false" ht="15" hidden="false" customHeight="false" outlineLevel="0" collapsed="false">
      <c r="A140" s="2" t="s">
        <v>390</v>
      </c>
      <c r="B140" s="2" t="s">
        <v>372</v>
      </c>
      <c r="C140" s="2" t="n">
        <f aca="false">COUNTIF(标注表!$AX$6:$AX$305,A140)</f>
        <v>0</v>
      </c>
      <c r="D140" s="2" t="n">
        <f aca="false">C140+SUMPRODUCT(--ISNUMBER(SEARCH("; "&amp;A140&amp;"; ","; "&amp;标注表!$AZ$6:$AZ$305&amp;"; ")))</f>
        <v>0</v>
      </c>
      <c r="E140" s="27" t="s">
        <v>300</v>
      </c>
      <c r="F140" s="2" t="str">
        <f aca="false">IF(D140&gt;=1,"够","缺")</f>
        <v>缺</v>
      </c>
    </row>
    <row r="141" customFormat="false" ht="15" hidden="false" customHeight="false" outlineLevel="0" collapsed="false">
      <c r="A141" s="2" t="s">
        <v>391</v>
      </c>
      <c r="B141" s="2" t="s">
        <v>372</v>
      </c>
      <c r="C141" s="2" t="n">
        <f aca="false">COUNTIF(标注表!$AX$6:$AX$305,A141)</f>
        <v>0</v>
      </c>
      <c r="D141" s="2" t="n">
        <f aca="false">C141+SUMPRODUCT(--ISNUMBER(SEARCH("; "&amp;A141&amp;"; ","; "&amp;标注表!$AZ$6:$AZ$305&amp;"; ")))</f>
        <v>0</v>
      </c>
      <c r="E141" s="27" t="s">
        <v>300</v>
      </c>
      <c r="F141" s="2" t="str">
        <f aca="false">IF(D141&gt;=1,"够","缺")</f>
        <v>缺</v>
      </c>
    </row>
    <row r="142" customFormat="false" ht="15" hidden="false" customHeight="false" outlineLevel="0" collapsed="false">
      <c r="A142" s="2" t="s">
        <v>392</v>
      </c>
      <c r="B142" s="2" t="s">
        <v>372</v>
      </c>
      <c r="C142" s="2" t="n">
        <f aca="false">COUNTIF(标注表!$AX$6:$AX$305,A142)</f>
        <v>0</v>
      </c>
      <c r="D142" s="2" t="n">
        <f aca="false">C142+SUMPRODUCT(--ISNUMBER(SEARCH("; "&amp;A142&amp;"; ","; "&amp;标注表!$AZ$6:$AZ$305&amp;"; ")))</f>
        <v>0</v>
      </c>
      <c r="E142" s="27" t="s">
        <v>300</v>
      </c>
      <c r="F142" s="2" t="str">
        <f aca="false">IF(D142&gt;=1,"够","缺")</f>
        <v>缺</v>
      </c>
    </row>
    <row r="143" customFormat="false" ht="15" hidden="false" customHeight="false" outlineLevel="0" collapsed="false">
      <c r="A143" s="2" t="s">
        <v>393</v>
      </c>
      <c r="B143" s="2" t="s">
        <v>372</v>
      </c>
      <c r="C143" s="2" t="n">
        <f aca="false">COUNTIF(标注表!$AX$6:$AX$305,A143)</f>
        <v>0</v>
      </c>
      <c r="D143" s="2" t="n">
        <f aca="false">C143+SUMPRODUCT(--ISNUMBER(SEARCH("; "&amp;A143&amp;"; ","; "&amp;标注表!$AZ$6:$AZ$305&amp;"; ")))</f>
        <v>0</v>
      </c>
      <c r="E143" s="27" t="s">
        <v>300</v>
      </c>
      <c r="F143" s="2" t="str">
        <f aca="false">IF(D143&gt;=1,"够","缺")</f>
        <v>缺</v>
      </c>
    </row>
    <row r="144" customFormat="false" ht="15" hidden="false" customHeight="false" outlineLevel="0" collapsed="false">
      <c r="A144" s="2" t="s">
        <v>394</v>
      </c>
      <c r="B144" s="2" t="s">
        <v>372</v>
      </c>
      <c r="C144" s="2" t="n">
        <f aca="false">COUNTIF(标注表!$AX$6:$AX$305,A144)</f>
        <v>0</v>
      </c>
      <c r="D144" s="2" t="n">
        <f aca="false">C144+SUMPRODUCT(--ISNUMBER(SEARCH("; "&amp;A144&amp;"; ","; "&amp;标注表!$AZ$6:$AZ$305&amp;"; ")))</f>
        <v>0</v>
      </c>
      <c r="E144" s="27" t="s">
        <v>300</v>
      </c>
      <c r="F144" s="2" t="str">
        <f aca="false">IF(D144&gt;=1,"够","缺")</f>
        <v>缺</v>
      </c>
    </row>
    <row r="145" customFormat="false" ht="15" hidden="false" customHeight="false" outlineLevel="0" collapsed="false">
      <c r="A145" s="2" t="s">
        <v>395</v>
      </c>
      <c r="B145" s="2" t="s">
        <v>372</v>
      </c>
      <c r="C145" s="2" t="n">
        <f aca="false">COUNTIF(标注表!$AX$6:$AX$305,A145)</f>
        <v>0</v>
      </c>
      <c r="D145" s="2" t="n">
        <f aca="false">C145+SUMPRODUCT(--ISNUMBER(SEARCH("; "&amp;A145&amp;"; ","; "&amp;标注表!$AZ$6:$AZ$305&amp;"; ")))</f>
        <v>0</v>
      </c>
      <c r="E145" s="27" t="s">
        <v>300</v>
      </c>
      <c r="F145" s="2" t="str">
        <f aca="false">IF(D145&gt;=1,"够","缺")</f>
        <v>缺</v>
      </c>
    </row>
    <row r="146" customFormat="false" ht="15" hidden="false" customHeight="false" outlineLevel="0" collapsed="false">
      <c r="A146" s="2" t="s">
        <v>396</v>
      </c>
      <c r="B146" s="2" t="s">
        <v>397</v>
      </c>
      <c r="C146" s="2" t="n">
        <f aca="false">COUNTIF(标注表!$AX$6:$AX$305,A146)</f>
        <v>0</v>
      </c>
      <c r="D146" s="2" t="n">
        <f aca="false">C146+SUMPRODUCT(--ISNUMBER(SEARCH("; "&amp;A146&amp;"; ","; "&amp;标注表!$AZ$6:$AZ$305&amp;"; ")))</f>
        <v>0</v>
      </c>
      <c r="E146" s="27" t="s">
        <v>300</v>
      </c>
      <c r="F146" s="2" t="str">
        <f aca="false">IF(D146&gt;=1,"够","缺")</f>
        <v>缺</v>
      </c>
    </row>
    <row r="147" customFormat="false" ht="15" hidden="false" customHeight="false" outlineLevel="0" collapsed="false">
      <c r="A147" s="2" t="s">
        <v>398</v>
      </c>
      <c r="B147" s="2" t="s">
        <v>397</v>
      </c>
      <c r="C147" s="2" t="n">
        <f aca="false">COUNTIF(标注表!$AX$6:$AX$305,A147)</f>
        <v>0</v>
      </c>
      <c r="D147" s="2" t="n">
        <f aca="false">C147+SUMPRODUCT(--ISNUMBER(SEARCH("; "&amp;A147&amp;"; ","; "&amp;标注表!$AZ$6:$AZ$305&amp;"; ")))</f>
        <v>0</v>
      </c>
      <c r="E147" s="27" t="s">
        <v>300</v>
      </c>
      <c r="F147" s="2" t="str">
        <f aca="false">IF(D147&gt;=1,"够","缺")</f>
        <v>缺</v>
      </c>
    </row>
    <row r="148" customFormat="false" ht="15" hidden="false" customHeight="false" outlineLevel="0" collapsed="false">
      <c r="A148" s="2" t="s">
        <v>399</v>
      </c>
      <c r="B148" s="2" t="s">
        <v>397</v>
      </c>
      <c r="C148" s="2" t="n">
        <f aca="false">COUNTIF(标注表!$AX$6:$AX$305,A148)</f>
        <v>0</v>
      </c>
      <c r="D148" s="2" t="n">
        <f aca="false">C148+SUMPRODUCT(--ISNUMBER(SEARCH("; "&amp;A148&amp;"; ","; "&amp;标注表!$AZ$6:$AZ$305&amp;"; ")))</f>
        <v>0</v>
      </c>
      <c r="E148" s="27" t="s">
        <v>300</v>
      </c>
      <c r="F148" s="2" t="str">
        <f aca="false">IF(D148&gt;=1,"够","缺")</f>
        <v>缺</v>
      </c>
    </row>
    <row r="149" customFormat="false" ht="15" hidden="false" customHeight="false" outlineLevel="0" collapsed="false">
      <c r="A149" s="2"/>
      <c r="B149" s="2"/>
      <c r="C149" s="2"/>
      <c r="D149" s="2"/>
      <c r="E149" s="2"/>
      <c r="F149" s="2"/>
    </row>
    <row r="150" customFormat="false" ht="15" hidden="false" customHeight="false" outlineLevel="0" collapsed="false">
      <c r="A150" s="5" t="s">
        <v>400</v>
      </c>
      <c r="B150" s="2"/>
      <c r="C150" s="2"/>
      <c r="D150" s="2"/>
      <c r="E150" s="2"/>
      <c r="F150" s="2"/>
    </row>
    <row r="151" customFormat="false" ht="15" hidden="false" customHeight="false" outlineLevel="0" collapsed="false">
      <c r="A151" s="28" t="s">
        <v>401</v>
      </c>
      <c r="B151" s="28" t="s">
        <v>402</v>
      </c>
      <c r="C151" s="28" t="s">
        <v>233</v>
      </c>
      <c r="D151" s="2"/>
      <c r="E151" s="2"/>
      <c r="F151" s="2"/>
    </row>
    <row r="152" customFormat="false" ht="15" hidden="false" customHeight="false" outlineLevel="0" collapsed="false">
      <c r="A152" s="2" t="s">
        <v>403</v>
      </c>
      <c r="B152" s="2" t="n">
        <f aca="false">COUNTIF(标注表!$AY$6:$AY$305,A152)</f>
        <v>0</v>
      </c>
      <c r="C152" s="2" t="str">
        <f aca="false">IF(B152&gt;=1,"够","缺")</f>
        <v>缺</v>
      </c>
      <c r="D152" s="2"/>
      <c r="E152" s="2"/>
      <c r="F152" s="2"/>
    </row>
    <row r="153" customFormat="false" ht="15" hidden="false" customHeight="false" outlineLevel="0" collapsed="false">
      <c r="A153" s="2" t="s">
        <v>404</v>
      </c>
      <c r="B153" s="2" t="n">
        <f aca="false">COUNTIF(标注表!$AY$6:$AY$305,A153)</f>
        <v>0</v>
      </c>
      <c r="C153" s="2" t="str">
        <f aca="false">IF(B153&gt;=1,"够","缺")</f>
        <v>缺</v>
      </c>
      <c r="D153" s="2"/>
      <c r="E153" s="2"/>
      <c r="F153" s="2"/>
    </row>
    <row r="154" customFormat="false" ht="15" hidden="false" customHeight="false" outlineLevel="0" collapsed="false">
      <c r="A154" s="2" t="s">
        <v>405</v>
      </c>
      <c r="B154" s="2" t="n">
        <f aca="false">COUNTIF(标注表!$AY$6:$AY$305,A154)</f>
        <v>0</v>
      </c>
      <c r="C154" s="2" t="str">
        <f aca="false">IF(B154&gt;=1,"够","缺")</f>
        <v>缺</v>
      </c>
      <c r="D154" s="2"/>
      <c r="E154" s="2"/>
      <c r="F154" s="2"/>
    </row>
    <row r="155" customFormat="false" ht="15" hidden="false" customHeight="false" outlineLevel="0" collapsed="false">
      <c r="A155" s="2" t="s">
        <v>406</v>
      </c>
      <c r="B155" s="2" t="n">
        <f aca="false">COUNTIF(标注表!$AY$6:$AY$305,A155)</f>
        <v>0</v>
      </c>
      <c r="C155" s="2" t="str">
        <f aca="false">IF(B155&gt;=1,"够","缺")</f>
        <v>缺</v>
      </c>
      <c r="D155" s="2"/>
      <c r="E155" s="2"/>
      <c r="F155" s="2"/>
    </row>
    <row r="156" customFormat="false" ht="15" hidden="false" customHeight="false" outlineLevel="0" collapsed="false">
      <c r="A156" s="2" t="s">
        <v>407</v>
      </c>
      <c r="B156" s="2" t="n">
        <f aca="false">COUNTIF(标注表!$AY$6:$AY$305,A156)</f>
        <v>0</v>
      </c>
      <c r="C156" s="2" t="str">
        <f aca="false">IF(B156&gt;=1,"够","缺")</f>
        <v>缺</v>
      </c>
      <c r="D156" s="2"/>
      <c r="E156" s="2"/>
      <c r="F156" s="2"/>
    </row>
    <row r="157" customFormat="false" ht="15" hidden="false" customHeight="false" outlineLevel="0" collapsed="false">
      <c r="A157" s="2" t="s">
        <v>408</v>
      </c>
      <c r="B157" s="2" t="n">
        <f aca="false">COUNTIF(标注表!$AY$6:$AY$305,A157)</f>
        <v>0</v>
      </c>
      <c r="C157" s="2" t="str">
        <f aca="false">IF(B157&gt;=1,"够","缺")</f>
        <v>缺</v>
      </c>
      <c r="D157" s="2"/>
      <c r="E157" s="2"/>
      <c r="F157" s="2"/>
    </row>
    <row r="158" customFormat="false" ht="15" hidden="false" customHeight="false" outlineLevel="0" collapsed="false">
      <c r="A158" s="2" t="s">
        <v>409</v>
      </c>
      <c r="B158" s="2" t="n">
        <f aca="false">COUNTIF(标注表!$AY$6:$AY$305,A158)</f>
        <v>0</v>
      </c>
      <c r="C158" s="2" t="str">
        <f aca="false">IF(B158&gt;=1,"够","缺")</f>
        <v>缺</v>
      </c>
      <c r="D158" s="2"/>
      <c r="E158" s="2"/>
      <c r="F158" s="2"/>
    </row>
    <row r="159" customFormat="false" ht="15" hidden="false" customHeight="false" outlineLevel="0" collapsed="false">
      <c r="A159" s="2" t="s">
        <v>410</v>
      </c>
      <c r="B159" s="2" t="n">
        <f aca="false">COUNTIF(标注表!$AY$6:$AY$305,A159)</f>
        <v>0</v>
      </c>
      <c r="C159" s="2" t="str">
        <f aca="false">IF(B159&gt;=1,"够","缺")</f>
        <v>缺</v>
      </c>
      <c r="D159" s="2"/>
      <c r="E159" s="2"/>
      <c r="F159" s="2"/>
    </row>
    <row r="160" customFormat="false" ht="15" hidden="false" customHeight="false" outlineLevel="0" collapsed="false">
      <c r="A160" s="2" t="s">
        <v>411</v>
      </c>
      <c r="B160" s="2" t="n">
        <f aca="false">COUNTIF(标注表!$AY$6:$AY$305,A160)</f>
        <v>0</v>
      </c>
      <c r="C160" s="2" t="str">
        <f aca="false">IF(B160&gt;=1,"够","缺")</f>
        <v>缺</v>
      </c>
      <c r="D160" s="2"/>
      <c r="E160" s="2"/>
      <c r="F160" s="2"/>
    </row>
    <row r="161" customFormat="false" ht="15" hidden="false" customHeight="false" outlineLevel="0" collapsed="false">
      <c r="A161" s="2" t="s">
        <v>412</v>
      </c>
      <c r="B161" s="2" t="n">
        <f aca="false">COUNTIF(标注表!$AY$6:$AY$305,A161)</f>
        <v>0</v>
      </c>
      <c r="C161" s="2" t="str">
        <f aca="false">IF(B161&gt;=1,"够","缺")</f>
        <v>缺</v>
      </c>
      <c r="D161" s="2"/>
      <c r="E161" s="2"/>
      <c r="F161" s="2"/>
    </row>
    <row r="162" customFormat="false" ht="15" hidden="false" customHeight="false" outlineLevel="0" collapsed="false">
      <c r="A162" s="2" t="s">
        <v>413</v>
      </c>
      <c r="B162" s="2" t="n">
        <f aca="false">COUNTIF(标注表!$AY$6:$AY$305,A162)</f>
        <v>0</v>
      </c>
      <c r="C162" s="2" t="str">
        <f aca="false">IF(B162&gt;=1,"够","缺")</f>
        <v>缺</v>
      </c>
      <c r="D162" s="2"/>
      <c r="E162" s="2"/>
      <c r="F162" s="2"/>
    </row>
    <row r="163" customFormat="false" ht="15" hidden="false" customHeight="false" outlineLevel="0" collapsed="false">
      <c r="A163" s="2"/>
      <c r="B163" s="2"/>
      <c r="C163" s="2"/>
      <c r="D163" s="2"/>
      <c r="E163" s="2"/>
      <c r="F163" s="2"/>
    </row>
    <row r="164" customFormat="false" ht="28.5" hidden="false" customHeight="true" outlineLevel="0" collapsed="false">
      <c r="A164" s="5" t="s">
        <v>414</v>
      </c>
      <c r="B164" s="2"/>
      <c r="C164" s="2"/>
      <c r="D164" s="2"/>
      <c r="E164" s="2"/>
      <c r="F164" s="2"/>
    </row>
    <row r="165" customFormat="false" ht="15" hidden="false" customHeight="false" outlineLevel="0" collapsed="false">
      <c r="A165" s="28" t="s">
        <v>415</v>
      </c>
      <c r="B165" s="28" t="s">
        <v>402</v>
      </c>
      <c r="C165" s="28" t="s">
        <v>233</v>
      </c>
      <c r="D165" s="2"/>
      <c r="E165" s="2"/>
      <c r="F165" s="2"/>
    </row>
    <row r="166" customFormat="false" ht="15" hidden="false" customHeight="false" outlineLevel="0" collapsed="false">
      <c r="A166" s="2" t="s">
        <v>416</v>
      </c>
      <c r="B166" s="2" t="n">
        <f aca="false">SUMPRODUCT(--ISNUMBER(SEARCH("; "&amp;A166&amp;"; ","; "&amp;标注表!$AV$6:$AV$305&amp;"; ")))</f>
        <v>0</v>
      </c>
      <c r="C166" s="2" t="str">
        <f aca="false">IF(A166="OTHER","不要求",IF(B166&gt;=1,"够","缺"))</f>
        <v>缺</v>
      </c>
      <c r="D166" s="2"/>
      <c r="E166" s="2"/>
      <c r="F166" s="2"/>
    </row>
    <row r="167" customFormat="false" ht="15" hidden="false" customHeight="false" outlineLevel="0" collapsed="false">
      <c r="A167" s="2" t="s">
        <v>417</v>
      </c>
      <c r="B167" s="2" t="n">
        <f aca="false">SUMPRODUCT(--ISNUMBER(SEARCH("; "&amp;A167&amp;"; ","; "&amp;标注表!$AV$6:$AV$305&amp;"; ")))</f>
        <v>0</v>
      </c>
      <c r="C167" s="2" t="str">
        <f aca="false">IF(A167="OTHER","不要求",IF(B167&gt;=1,"够","缺"))</f>
        <v>缺</v>
      </c>
      <c r="D167" s="2"/>
      <c r="E167" s="2"/>
      <c r="F167" s="2"/>
    </row>
    <row r="168" customFormat="false" ht="15" hidden="false" customHeight="false" outlineLevel="0" collapsed="false">
      <c r="A168" s="2" t="s">
        <v>418</v>
      </c>
      <c r="B168" s="2" t="n">
        <f aca="false">SUMPRODUCT(--ISNUMBER(SEARCH("; "&amp;A168&amp;"; ","; "&amp;标注表!$AV$6:$AV$305&amp;"; ")))</f>
        <v>0</v>
      </c>
      <c r="C168" s="2" t="str">
        <f aca="false">IF(A168="OTHER","不要求",IF(B168&gt;=1,"够","缺"))</f>
        <v>缺</v>
      </c>
      <c r="D168" s="2"/>
      <c r="E168" s="2"/>
      <c r="F168" s="2"/>
    </row>
    <row r="169" customFormat="false" ht="15" hidden="false" customHeight="false" outlineLevel="0" collapsed="false">
      <c r="A169" s="2" t="s">
        <v>419</v>
      </c>
      <c r="B169" s="2" t="n">
        <f aca="false">SUMPRODUCT(--ISNUMBER(SEARCH("; "&amp;A169&amp;"; ","; "&amp;标注表!$AV$6:$AV$305&amp;"; ")))</f>
        <v>0</v>
      </c>
      <c r="C169" s="2" t="str">
        <f aca="false">IF(A169="OTHER","不要求",IF(B169&gt;=1,"够","缺"))</f>
        <v>缺</v>
      </c>
      <c r="D169" s="2"/>
      <c r="E169" s="2"/>
      <c r="F169" s="2"/>
    </row>
    <row r="170" customFormat="false" ht="15" hidden="false" customHeight="false" outlineLevel="0" collapsed="false">
      <c r="A170" s="2" t="s">
        <v>420</v>
      </c>
      <c r="B170" s="2" t="n">
        <f aca="false">SUMPRODUCT(--ISNUMBER(SEARCH("; "&amp;A170&amp;"; ","; "&amp;标注表!$AV$6:$AV$305&amp;"; ")))</f>
        <v>0</v>
      </c>
      <c r="C170" s="2" t="str">
        <f aca="false">IF(A170="OTHER","不要求",IF(B170&gt;=1,"够","缺"))</f>
        <v>缺</v>
      </c>
      <c r="D170" s="2"/>
      <c r="E170" s="2"/>
      <c r="F170" s="2"/>
    </row>
    <row r="171" customFormat="false" ht="15" hidden="false" customHeight="false" outlineLevel="0" collapsed="false">
      <c r="A171" s="2" t="s">
        <v>421</v>
      </c>
      <c r="B171" s="2" t="n">
        <f aca="false">SUMPRODUCT(--ISNUMBER(SEARCH("; "&amp;A171&amp;"; ","; "&amp;标注表!$AV$6:$AV$305&amp;"; ")))</f>
        <v>0</v>
      </c>
      <c r="C171" s="2" t="str">
        <f aca="false">IF(A171="OTHER","不要求",IF(B171&gt;=1,"够","缺"))</f>
        <v>缺</v>
      </c>
      <c r="D171" s="2"/>
      <c r="E171" s="2"/>
      <c r="F171" s="2"/>
    </row>
    <row r="172" customFormat="false" ht="15" hidden="false" customHeight="false" outlineLevel="0" collapsed="false">
      <c r="A172" s="2" t="s">
        <v>422</v>
      </c>
      <c r="B172" s="2" t="n">
        <f aca="false">SUMPRODUCT(--ISNUMBER(SEARCH("; "&amp;A172&amp;"; ","; "&amp;标注表!$AV$6:$AV$305&amp;"; ")))</f>
        <v>0</v>
      </c>
      <c r="C172" s="2" t="str">
        <f aca="false">IF(A172="OTHER","不要求",IF(B172&gt;=1,"够","缺"))</f>
        <v>缺</v>
      </c>
      <c r="D172" s="2"/>
      <c r="E172" s="2"/>
      <c r="F172" s="2"/>
    </row>
    <row r="173" customFormat="false" ht="15" hidden="false" customHeight="false" outlineLevel="0" collapsed="false">
      <c r="A173" s="2" t="s">
        <v>423</v>
      </c>
      <c r="B173" s="2" t="n">
        <f aca="false">SUMPRODUCT(--ISNUMBER(SEARCH("; "&amp;A173&amp;"; ","; "&amp;标注表!$AV$6:$AV$305&amp;"; ")))</f>
        <v>0</v>
      </c>
      <c r="C173" s="2" t="str">
        <f aca="false">IF(A173="OTHER","不要求",IF(B173&gt;=1,"够","缺"))</f>
        <v>缺</v>
      </c>
      <c r="D173" s="2"/>
      <c r="E173" s="2"/>
      <c r="F173" s="2"/>
    </row>
    <row r="174" customFormat="false" ht="15" hidden="false" customHeight="false" outlineLevel="0" collapsed="false">
      <c r="A174" s="2" t="s">
        <v>424</v>
      </c>
      <c r="B174" s="2" t="n">
        <f aca="false">SUMPRODUCT(--ISNUMBER(SEARCH("; "&amp;A174&amp;"; ","; "&amp;标注表!$AV$6:$AV$305&amp;"; ")))</f>
        <v>0</v>
      </c>
      <c r="C174" s="2" t="str">
        <f aca="false">IF(A174="OTHER","不要求",IF(B174&gt;=1,"够","缺"))</f>
        <v>缺</v>
      </c>
      <c r="D174" s="2"/>
      <c r="E174" s="2"/>
      <c r="F174" s="2"/>
    </row>
    <row r="175" customFormat="false" ht="15" hidden="false" customHeight="false" outlineLevel="0" collapsed="false">
      <c r="A175" s="2" t="s">
        <v>425</v>
      </c>
      <c r="B175" s="2" t="n">
        <f aca="false">SUMPRODUCT(--ISNUMBER(SEARCH("; "&amp;A175&amp;"; ","; "&amp;标注表!$AV$6:$AV$305&amp;"; ")))</f>
        <v>0</v>
      </c>
      <c r="C175" s="2" t="str">
        <f aca="false">IF(A175="OTHER","不要求",IF(B175&gt;=1,"够","缺"))</f>
        <v>缺</v>
      </c>
      <c r="D175" s="2"/>
      <c r="E175" s="2"/>
      <c r="F175" s="2"/>
    </row>
    <row r="176" customFormat="false" ht="15" hidden="false" customHeight="false" outlineLevel="0" collapsed="false">
      <c r="A176" s="2" t="s">
        <v>426</v>
      </c>
      <c r="B176" s="2" t="n">
        <f aca="false">SUMPRODUCT(--ISNUMBER(SEARCH("; "&amp;A176&amp;"; ","; "&amp;标注表!$AV$6:$AV$305&amp;"; ")))</f>
        <v>0</v>
      </c>
      <c r="C176" s="2" t="str">
        <f aca="false">IF(A176="OTHER","不要求",IF(B176&gt;=1,"够","缺"))</f>
        <v>缺</v>
      </c>
      <c r="D176" s="2"/>
      <c r="E176" s="2"/>
      <c r="F176" s="2"/>
    </row>
    <row r="177" customFormat="false" ht="15" hidden="false" customHeight="false" outlineLevel="0" collapsed="false">
      <c r="A177" s="2" t="s">
        <v>427</v>
      </c>
      <c r="B177" s="2" t="n">
        <f aca="false">SUMPRODUCT(--ISNUMBER(SEARCH("; "&amp;A177&amp;"; ","; "&amp;标注表!$AV$6:$AV$305&amp;"; ")))</f>
        <v>0</v>
      </c>
      <c r="C177" s="2" t="str">
        <f aca="false">IF(A177="OTHER","不要求",IF(B177&gt;=1,"够","缺"))</f>
        <v>缺</v>
      </c>
      <c r="D177" s="2"/>
      <c r="E177" s="2"/>
      <c r="F177" s="2"/>
    </row>
    <row r="178" customFormat="false" ht="15" hidden="false" customHeight="false" outlineLevel="0" collapsed="false">
      <c r="A178" s="2" t="s">
        <v>428</v>
      </c>
      <c r="B178" s="2" t="n">
        <f aca="false">SUMPRODUCT(--ISNUMBER(SEARCH("; "&amp;A178&amp;"; ","; "&amp;标注表!$AV$6:$AV$305&amp;"; ")))</f>
        <v>0</v>
      </c>
      <c r="C178" s="2" t="str">
        <f aca="false">IF(A178="OTHER","不要求",IF(B178&gt;=1,"够","缺"))</f>
        <v>缺</v>
      </c>
      <c r="D178" s="2"/>
      <c r="E178" s="2"/>
      <c r="F178" s="2"/>
    </row>
    <row r="179" customFormat="false" ht="15" hidden="false" customHeight="false" outlineLevel="0" collapsed="false">
      <c r="A179" s="2" t="s">
        <v>429</v>
      </c>
      <c r="B179" s="2" t="n">
        <f aca="false">SUMPRODUCT(--ISNUMBER(SEARCH("; "&amp;A179&amp;"; ","; "&amp;标注表!$AV$6:$AV$305&amp;"; ")))</f>
        <v>0</v>
      </c>
      <c r="C179" s="2" t="str">
        <f aca="false">IF(A179="OTHER","不要求",IF(B179&gt;=1,"够","缺"))</f>
        <v>缺</v>
      </c>
      <c r="D179" s="2"/>
      <c r="E179" s="2"/>
      <c r="F179" s="2"/>
    </row>
    <row r="180" customFormat="false" ht="15" hidden="false" customHeight="false" outlineLevel="0" collapsed="false">
      <c r="A180" s="2" t="s">
        <v>430</v>
      </c>
      <c r="B180" s="2" t="n">
        <f aca="false">SUMPRODUCT(--ISNUMBER(SEARCH("; "&amp;A180&amp;"; ","; "&amp;标注表!$AV$6:$AV$305&amp;"; ")))</f>
        <v>0</v>
      </c>
      <c r="C180" s="2" t="str">
        <f aca="false">IF(A180="OTHER","不要求",IF(B180&gt;=1,"够","缺"))</f>
        <v>缺</v>
      </c>
      <c r="D180" s="2"/>
      <c r="E180" s="2"/>
      <c r="F180" s="2"/>
    </row>
    <row r="181" customFormat="false" ht="15" hidden="false" customHeight="false" outlineLevel="0" collapsed="false">
      <c r="A181" s="2" t="s">
        <v>431</v>
      </c>
      <c r="B181" s="2" t="n">
        <f aca="false">SUMPRODUCT(--ISNUMBER(SEARCH("; "&amp;A181&amp;"; ","; "&amp;标注表!$AV$6:$AV$305&amp;"; ")))</f>
        <v>0</v>
      </c>
      <c r="C181" s="2" t="str">
        <f aca="false">IF(A181="OTHER","不要求",IF(B181&gt;=1,"够","缺"))</f>
        <v>缺</v>
      </c>
      <c r="D181" s="2"/>
      <c r="E181" s="2"/>
      <c r="F181" s="2"/>
    </row>
    <row r="182" customFormat="false" ht="15" hidden="false" customHeight="false" outlineLevel="0" collapsed="false">
      <c r="A182" s="2" t="s">
        <v>432</v>
      </c>
      <c r="B182" s="2" t="n">
        <f aca="false">SUMPRODUCT(--ISNUMBER(SEARCH("; "&amp;A182&amp;"; ","; "&amp;标注表!$AV$6:$AV$305&amp;"; ")))</f>
        <v>0</v>
      </c>
      <c r="C182" s="2" t="str">
        <f aca="false">IF(A182="OTHER","不要求",IF(B182&gt;=1,"够","缺"))</f>
        <v>缺</v>
      </c>
      <c r="D182" s="2"/>
      <c r="E182" s="2"/>
      <c r="F182" s="2"/>
    </row>
    <row r="183" customFormat="false" ht="15" hidden="false" customHeight="false" outlineLevel="0" collapsed="false">
      <c r="A183" s="2" t="s">
        <v>433</v>
      </c>
      <c r="B183" s="2" t="n">
        <f aca="false">SUMPRODUCT(--ISNUMBER(SEARCH("; "&amp;A183&amp;"; ","; "&amp;标注表!$AV$6:$AV$305&amp;"; ")))</f>
        <v>0</v>
      </c>
      <c r="C183" s="2" t="str">
        <f aca="false">IF(A183="OTHER","不要求",IF(B183&gt;=1,"够","缺"))</f>
        <v>缺</v>
      </c>
      <c r="D183" s="2"/>
      <c r="E183" s="2"/>
      <c r="F183" s="2"/>
    </row>
    <row r="184" customFormat="false" ht="15" hidden="false" customHeight="false" outlineLevel="0" collapsed="false">
      <c r="A184" s="2" t="s">
        <v>434</v>
      </c>
      <c r="B184" s="2" t="n">
        <f aca="false">SUMPRODUCT(--ISNUMBER(SEARCH("; "&amp;A184&amp;"; ","; "&amp;标注表!$AV$6:$AV$305&amp;"; ")))</f>
        <v>0</v>
      </c>
      <c r="C184" s="2" t="str">
        <f aca="false">IF(A184="OTHER","不要求",IF(B184&gt;=1,"够","缺"))</f>
        <v>缺</v>
      </c>
      <c r="D184" s="2"/>
      <c r="E184" s="2"/>
      <c r="F184" s="2"/>
    </row>
    <row r="185" customFormat="false" ht="15" hidden="false" customHeight="false" outlineLevel="0" collapsed="false">
      <c r="A185" s="2" t="s">
        <v>435</v>
      </c>
      <c r="B185" s="2" t="n">
        <f aca="false">SUMPRODUCT(--ISNUMBER(SEARCH("; "&amp;A185&amp;"; ","; "&amp;标注表!$AV$6:$AV$305&amp;"; ")))</f>
        <v>0</v>
      </c>
      <c r="C185" s="2" t="str">
        <f aca="false">IF(A185="OTHER","不要求",IF(B185&gt;=1,"够","缺"))</f>
        <v>缺</v>
      </c>
      <c r="D185" s="2"/>
      <c r="E185" s="2"/>
      <c r="F185" s="2"/>
    </row>
    <row r="186" customFormat="false" ht="15" hidden="false" customHeight="false" outlineLevel="0" collapsed="false">
      <c r="A186" s="2" t="s">
        <v>436</v>
      </c>
      <c r="B186" s="2" t="n">
        <f aca="false">SUMPRODUCT(--ISNUMBER(SEARCH("; "&amp;A186&amp;"; ","; "&amp;标注表!$AV$6:$AV$305&amp;"; ")))</f>
        <v>0</v>
      </c>
      <c r="C186" s="2" t="str">
        <f aca="false">IF(A186="OTHER","不要求",IF(B186&gt;=1,"够","缺"))</f>
        <v>不要求</v>
      </c>
      <c r="D186" s="2"/>
      <c r="E186" s="2"/>
      <c r="F186" s="2"/>
    </row>
    <row r="187" customFormat="false" ht="15" hidden="false" customHeight="false" outlineLevel="0" collapsed="false">
      <c r="A187" s="2"/>
      <c r="B187" s="2"/>
      <c r="C187" s="2"/>
      <c r="D187" s="2"/>
      <c r="E187" s="2"/>
      <c r="F187" s="2"/>
    </row>
    <row r="188" customFormat="false" ht="15" hidden="false" customHeight="false" outlineLevel="0" collapsed="false">
      <c r="A188" s="5" t="s">
        <v>437</v>
      </c>
      <c r="B188" s="2"/>
      <c r="C188" s="2"/>
      <c r="D188" s="2"/>
      <c r="E188" s="2"/>
      <c r="F188" s="2"/>
    </row>
    <row r="189" customFormat="false" ht="15" hidden="false" customHeight="false" outlineLevel="0" collapsed="false">
      <c r="A189" s="28" t="s">
        <v>438</v>
      </c>
      <c r="B189" s="28" t="s">
        <v>402</v>
      </c>
      <c r="C189" s="2"/>
      <c r="D189" s="2"/>
      <c r="E189" s="2"/>
      <c r="F189" s="2"/>
    </row>
    <row r="190" customFormat="false" ht="15" hidden="false" customHeight="false" outlineLevel="0" collapsed="false">
      <c r="A190" s="2" t="s">
        <v>439</v>
      </c>
      <c r="B190" s="2" t="n">
        <f aca="false">COUNTIF(标注表!$AM$6:$AM$305,A190)</f>
        <v>0</v>
      </c>
      <c r="C190" s="2"/>
      <c r="D190" s="2"/>
      <c r="E190" s="2"/>
      <c r="F190" s="2"/>
    </row>
    <row r="191" customFormat="false" ht="15" hidden="false" customHeight="false" outlineLevel="0" collapsed="false">
      <c r="A191" s="2" t="s">
        <v>121</v>
      </c>
      <c r="B191" s="2" t="n">
        <f aca="false">COUNTIF(标注表!$AM$6:$AM$305,A191)</f>
        <v>0</v>
      </c>
      <c r="C191" s="2"/>
      <c r="D191" s="2"/>
      <c r="E191" s="2"/>
      <c r="F191" s="2"/>
    </row>
    <row r="192" customFormat="false" ht="15" hidden="false" customHeight="false" outlineLevel="0" collapsed="false">
      <c r="A192" s="2" t="s">
        <v>440</v>
      </c>
      <c r="B192" s="2" t="n">
        <f aca="false">COUNTIF(标注表!$AM$6:$AM$305,A192)</f>
        <v>0</v>
      </c>
      <c r="C192" s="2"/>
      <c r="D192" s="2"/>
      <c r="E192" s="2"/>
      <c r="F192" s="2"/>
    </row>
    <row r="193" customFormat="false" ht="15" hidden="false" customHeight="false" outlineLevel="0" collapsed="false">
      <c r="A193" s="2" t="s">
        <v>441</v>
      </c>
      <c r="B193" s="2" t="n">
        <f aca="false">COUNTIF(标注表!$AM$6:$AM$305,A193)</f>
        <v>0</v>
      </c>
      <c r="C193" s="2"/>
      <c r="D193" s="2"/>
      <c r="E193" s="2"/>
      <c r="F193" s="2"/>
    </row>
    <row r="194" customFormat="false" ht="15" hidden="false" customHeight="false" outlineLevel="0" collapsed="false">
      <c r="A194" s="2" t="s">
        <v>442</v>
      </c>
      <c r="B194" s="2" t="n">
        <f aca="false">COUNTIF(标注表!$AM$6:$AM$305,A194)</f>
        <v>0</v>
      </c>
      <c r="C194" s="2"/>
      <c r="D194" s="2"/>
      <c r="E194" s="2"/>
      <c r="F194" s="2"/>
    </row>
    <row r="195" customFormat="false" ht="15" hidden="false" customHeight="false" outlineLevel="0" collapsed="false">
      <c r="A195" s="2" t="s">
        <v>443</v>
      </c>
      <c r="B195" s="2" t="n">
        <f aca="false">COUNTIF(标注表!$AM$6:$AM$305,A195)</f>
        <v>0</v>
      </c>
      <c r="C195" s="2"/>
      <c r="D195" s="2"/>
      <c r="E195" s="2"/>
      <c r="F195" s="2"/>
    </row>
    <row r="196" customFormat="false" ht="15" hidden="false" customHeight="false" outlineLevel="0" collapsed="false">
      <c r="A196" s="2" t="s">
        <v>444</v>
      </c>
      <c r="B196" s="2" t="n">
        <f aca="false">COUNTIF(标注表!$AM$6:$AM$305,A196)</f>
        <v>0</v>
      </c>
      <c r="C196" s="2"/>
      <c r="D196" s="2"/>
      <c r="E196" s="2"/>
      <c r="F196" s="2"/>
    </row>
    <row r="197" customFormat="false" ht="15" hidden="false" customHeight="false" outlineLevel="0" collapsed="false">
      <c r="A197" s="2" t="s">
        <v>445</v>
      </c>
      <c r="B197" s="2" t="n">
        <f aca="false">COUNTIF(标注表!$AM$6:$AM$305,A197)</f>
        <v>0</v>
      </c>
      <c r="C197" s="2"/>
      <c r="D197" s="2"/>
      <c r="E197" s="2"/>
      <c r="F197" s="2"/>
    </row>
    <row r="198" customFormat="false" ht="15" hidden="false" customHeight="false" outlineLevel="0" collapsed="false">
      <c r="A198" s="2" t="s">
        <v>446</v>
      </c>
      <c r="B198" s="2" t="n">
        <f aca="false">COUNTIF(标注表!$AM$6:$AM$305,A198)</f>
        <v>0</v>
      </c>
      <c r="C198" s="2"/>
      <c r="D198" s="2"/>
      <c r="E198" s="2"/>
      <c r="F198" s="2"/>
    </row>
    <row r="199" customFormat="false" ht="15" hidden="false" customHeight="false" outlineLevel="0" collapsed="false">
      <c r="A199" s="2" t="s">
        <v>287</v>
      </c>
      <c r="B199" s="2" t="n">
        <f aca="false">COUNTIF(标注表!$AM$6:$AM$305,A199)</f>
        <v>0</v>
      </c>
      <c r="C199" s="2"/>
      <c r="D199" s="2"/>
      <c r="E199" s="2"/>
      <c r="F199" s="2"/>
    </row>
    <row r="200" customFormat="false" ht="15" hidden="false" customHeight="false" outlineLevel="0" collapsed="false">
      <c r="A200" s="2" t="s">
        <v>447</v>
      </c>
      <c r="B200" s="2" t="n">
        <f aca="false">COUNTIF(标注表!$AM$6:$AM$305,A200)</f>
        <v>0</v>
      </c>
      <c r="C200" s="2"/>
      <c r="D200" s="2"/>
      <c r="E200" s="2"/>
      <c r="F200" s="2"/>
    </row>
    <row r="201" customFormat="false" ht="15" hidden="false" customHeight="false" outlineLevel="0" collapsed="false">
      <c r="A201" s="2"/>
      <c r="B201" s="2"/>
      <c r="C201" s="2"/>
      <c r="D201" s="2"/>
      <c r="E201" s="2"/>
      <c r="F201" s="2"/>
    </row>
    <row r="202" customFormat="false" ht="15" hidden="false" customHeight="false" outlineLevel="0" collapsed="false">
      <c r="A202" s="5" t="s">
        <v>448</v>
      </c>
      <c r="B202" s="2"/>
      <c r="C202" s="2"/>
      <c r="D202" s="2"/>
      <c r="E202" s="2"/>
      <c r="F202" s="2"/>
    </row>
    <row r="203" customFormat="false" ht="15" hidden="false" customHeight="false" outlineLevel="0" collapsed="false">
      <c r="A203" s="28" t="s">
        <v>449</v>
      </c>
      <c r="B203" s="28" t="s">
        <v>402</v>
      </c>
      <c r="C203" s="2"/>
      <c r="D203" s="2"/>
      <c r="E203" s="2"/>
      <c r="F203" s="2"/>
    </row>
    <row r="204" customFormat="false" ht="15" hidden="false" customHeight="false" outlineLevel="0" collapsed="false">
      <c r="A204" s="2" t="s">
        <v>27</v>
      </c>
      <c r="B204" s="2" t="n">
        <f aca="false">COUNTIF(标注表!$AU$6:$AU$305,A204)</f>
        <v>0</v>
      </c>
      <c r="C204" s="2"/>
      <c r="D204" s="2"/>
      <c r="E204" s="2"/>
      <c r="F204" s="2"/>
    </row>
    <row r="205" customFormat="false" ht="15" hidden="false" customHeight="false" outlineLevel="0" collapsed="false">
      <c r="A205" s="2" t="s">
        <v>450</v>
      </c>
      <c r="B205" s="2" t="n">
        <f aca="false">COUNTIF(标注表!$AU$6:$AU$305,A205)</f>
        <v>0</v>
      </c>
      <c r="C205" s="2"/>
      <c r="D205" s="2"/>
      <c r="E205" s="2"/>
      <c r="F205" s="2"/>
    </row>
    <row r="206" customFormat="false" ht="15" hidden="false" customHeight="false" outlineLevel="0" collapsed="false">
      <c r="A206" s="2" t="s">
        <v>106</v>
      </c>
      <c r="B206" s="2" t="n">
        <f aca="false">COUNTIF(标注表!$AU$6:$AU$305,A206)</f>
        <v>0</v>
      </c>
      <c r="C206" s="2"/>
      <c r="D206" s="2"/>
      <c r="E206" s="2"/>
      <c r="F206" s="2"/>
    </row>
    <row r="207" customFormat="false" ht="15" hidden="false" customHeight="false" outlineLevel="0" collapsed="false">
      <c r="A207" s="2"/>
      <c r="B207" s="2"/>
      <c r="C207" s="2"/>
      <c r="D207" s="2"/>
      <c r="E207" s="2"/>
      <c r="F207" s="2"/>
    </row>
    <row r="208" customFormat="false" ht="15" hidden="false" customHeight="false" outlineLevel="0" collapsed="false">
      <c r="A208" s="5" t="s">
        <v>451</v>
      </c>
      <c r="B208" s="2"/>
      <c r="C208" s="2"/>
      <c r="D208" s="2"/>
      <c r="E208" s="2"/>
      <c r="F208" s="2"/>
    </row>
    <row r="209" customFormat="false" ht="15" hidden="false" customHeight="false" outlineLevel="0" collapsed="false">
      <c r="A209" s="28" t="s">
        <v>452</v>
      </c>
      <c r="B209" s="28" t="s">
        <v>453</v>
      </c>
      <c r="C209" s="28" t="s">
        <v>233</v>
      </c>
      <c r="D209" s="2"/>
      <c r="E209" s="2"/>
      <c r="F209" s="2"/>
    </row>
    <row r="210" customFormat="false" ht="28.5" hidden="false" customHeight="true" outlineLevel="0" collapsed="false">
      <c r="A210" s="27" t="s">
        <v>454</v>
      </c>
      <c r="B210" s="2" t="n">
        <f aca="false">SUMPRODUCT((标注表!$AM$6:$AM$305="ESCALATE_HUMAN")*(标注表!$AU$6:$AU$305&lt;&gt;"HUMAN"))</f>
        <v>0</v>
      </c>
      <c r="C210" s="2" t="str">
        <f aca="false">IF(B210=0,"好","需修正")</f>
        <v>好</v>
      </c>
      <c r="D210" s="2"/>
      <c r="E210" s="2"/>
      <c r="F210" s="2"/>
    </row>
    <row r="211" customFormat="false" ht="28.5" hidden="false" customHeight="true" outlineLevel="0" collapsed="false">
      <c r="A211" s="2" t="s">
        <v>455</v>
      </c>
      <c r="B211" s="2" t="n">
        <f aca="false">SUMPRODUCT((标注表!$AT$6:$AT$305="Y")*(标注表!$AU$6:$AU$305="AUTO"))</f>
        <v>0</v>
      </c>
      <c r="C211" s="2" t="str">
        <f aca="false">IF(B211=0,"好","需修正")</f>
        <v>好</v>
      </c>
      <c r="D211" s="2"/>
      <c r="E211" s="2"/>
      <c r="F211" s="2"/>
    </row>
    <row r="212" customFormat="false" ht="28.5" hidden="false" customHeight="true" outlineLevel="0" collapsed="false">
      <c r="A212" s="2" t="s">
        <v>456</v>
      </c>
      <c r="B212" s="2" t="n">
        <f aca="false">SUMPRODUCT((标注表!$AT$6:$AT$305="N")*((标注表!$AU$6:$AU$305="APPROVE")+(标注表!$AU$6:$AU$305="HUMAN")))</f>
        <v>0</v>
      </c>
      <c r="C212" s="2" t="str">
        <f aca="false">IF(B212=0,"好","需修正")</f>
        <v>好</v>
      </c>
      <c r="D212" s="2"/>
      <c r="E212" s="2"/>
      <c r="F212" s="2"/>
    </row>
    <row r="213" customFormat="false" ht="15" hidden="false" customHeight="false" outlineLevel="0" collapsed="false">
      <c r="A213" s="2"/>
      <c r="B213" s="2"/>
      <c r="C213" s="2"/>
      <c r="D213" s="2"/>
      <c r="E213" s="2"/>
      <c r="F213" s="2"/>
    </row>
    <row r="214" customFormat="false" ht="30" hidden="false" customHeight="true" outlineLevel="0" collapsed="false">
      <c r="A214" s="29" t="s">
        <v>457</v>
      </c>
      <c r="B214" s="29"/>
      <c r="C214" s="29"/>
      <c r="D214" s="29"/>
      <c r="E214" s="29"/>
      <c r="F214" s="29"/>
    </row>
  </sheetData>
  <mergeCells count="1">
    <mergeCell ref="A214:F21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30" t="s">
        <v>458</v>
      </c>
      <c r="B1" s="30" t="s">
        <v>119</v>
      </c>
      <c r="C1" s="30" t="s">
        <v>130</v>
      </c>
      <c r="D1" s="30" t="s">
        <v>42</v>
      </c>
      <c r="E1" s="30" t="s">
        <v>127</v>
      </c>
      <c r="F1" s="30" t="s">
        <v>116</v>
      </c>
      <c r="G1" s="30" t="s">
        <v>137</v>
      </c>
      <c r="H1" s="30" t="s">
        <v>140</v>
      </c>
      <c r="I1" s="30" t="s">
        <v>50</v>
      </c>
      <c r="J1" s="30" t="s">
        <v>53</v>
      </c>
      <c r="K1" s="30" t="s">
        <v>56</v>
      </c>
      <c r="L1" s="30" t="s">
        <v>70</v>
      </c>
      <c r="M1" s="30" t="s">
        <v>73</v>
      </c>
      <c r="N1" s="30" t="s">
        <v>146</v>
      </c>
      <c r="O1" s="30" t="s">
        <v>157</v>
      </c>
      <c r="P1" s="30" t="s">
        <v>29</v>
      </c>
      <c r="Q1" s="30" t="s">
        <v>32</v>
      </c>
      <c r="R1" s="30" t="s">
        <v>38</v>
      </c>
      <c r="S1" s="30" t="s">
        <v>96</v>
      </c>
      <c r="T1" s="30" t="s">
        <v>105</v>
      </c>
      <c r="U1" s="30" t="s">
        <v>133</v>
      </c>
      <c r="V1" s="30" t="s">
        <v>141</v>
      </c>
      <c r="W1" s="30" t="s">
        <v>148</v>
      </c>
      <c r="X1" s="30" t="s">
        <v>171</v>
      </c>
      <c r="Y1" s="30" t="s">
        <v>179</v>
      </c>
      <c r="Z1" s="30" t="s">
        <v>190</v>
      </c>
    </row>
    <row r="2" customFormat="false" ht="15" hidden="false" customHeight="false" outlineLevel="0" collapsed="false">
      <c r="A2" s="2" t="s">
        <v>255</v>
      </c>
      <c r="B2" s="2" t="s">
        <v>439</v>
      </c>
      <c r="C2" s="2" t="s">
        <v>459</v>
      </c>
      <c r="D2" s="2" t="s">
        <v>43</v>
      </c>
      <c r="E2" s="2" t="s">
        <v>128</v>
      </c>
      <c r="F2" s="2" t="s">
        <v>117</v>
      </c>
      <c r="G2" s="2" t="s">
        <v>27</v>
      </c>
      <c r="H2" s="2" t="s">
        <v>416</v>
      </c>
      <c r="I2" s="2" t="s">
        <v>51</v>
      </c>
      <c r="J2" s="2" t="s">
        <v>54</v>
      </c>
      <c r="K2" s="2" t="s">
        <v>221</v>
      </c>
      <c r="L2" s="2" t="s">
        <v>222</v>
      </c>
      <c r="M2" s="2" t="s">
        <v>460</v>
      </c>
      <c r="N2" s="2" t="s">
        <v>298</v>
      </c>
      <c r="O2" s="2" t="s">
        <v>461</v>
      </c>
      <c r="P2" s="2" t="s">
        <v>214</v>
      </c>
      <c r="Q2" s="2" t="s">
        <v>215</v>
      </c>
      <c r="R2" s="2" t="s">
        <v>217</v>
      </c>
      <c r="S2" s="2" t="s">
        <v>462</v>
      </c>
      <c r="T2" s="2" t="s">
        <v>108</v>
      </c>
      <c r="U2" s="2" t="s">
        <v>108</v>
      </c>
      <c r="V2" s="2" t="s">
        <v>143</v>
      </c>
      <c r="W2" s="2" t="s">
        <v>403</v>
      </c>
      <c r="X2" s="2" t="s">
        <v>463</v>
      </c>
      <c r="Y2" s="2" t="s">
        <v>464</v>
      </c>
      <c r="Z2" s="2" t="s">
        <v>465</v>
      </c>
    </row>
    <row r="3" customFormat="false" ht="15" hidden="false" customHeight="false" outlineLevel="0" collapsed="false">
      <c r="A3" s="2" t="s">
        <v>111</v>
      </c>
      <c r="B3" s="2" t="s">
        <v>121</v>
      </c>
      <c r="C3" s="2" t="s">
        <v>466</v>
      </c>
      <c r="D3" s="2" t="s">
        <v>467</v>
      </c>
      <c r="E3" s="2" t="s">
        <v>468</v>
      </c>
      <c r="F3" s="2" t="s">
        <v>469</v>
      </c>
      <c r="G3" s="2" t="s">
        <v>450</v>
      </c>
      <c r="H3" s="2" t="s">
        <v>417</v>
      </c>
      <c r="I3" s="2" t="s">
        <v>470</v>
      </c>
      <c r="J3" s="2" t="s">
        <v>471</v>
      </c>
      <c r="K3" s="2" t="s">
        <v>57</v>
      </c>
      <c r="L3" s="2" t="s">
        <v>71</v>
      </c>
      <c r="M3" s="2" t="s">
        <v>74</v>
      </c>
      <c r="N3" s="2" t="s">
        <v>301</v>
      </c>
      <c r="O3" s="2" t="s">
        <v>472</v>
      </c>
      <c r="P3" s="2" t="s">
        <v>473</v>
      </c>
      <c r="Q3" s="2" t="s">
        <v>35</v>
      </c>
      <c r="R3" s="2" t="s">
        <v>40</v>
      </c>
      <c r="S3" s="2" t="s">
        <v>99</v>
      </c>
      <c r="T3" s="2" t="s">
        <v>135</v>
      </c>
      <c r="U3" s="2" t="s">
        <v>135</v>
      </c>
      <c r="V3" s="2" t="s">
        <v>242</v>
      </c>
      <c r="W3" s="2" t="s">
        <v>404</v>
      </c>
      <c r="X3" s="2" t="s">
        <v>474</v>
      </c>
      <c r="Y3" s="2" t="s">
        <v>475</v>
      </c>
      <c r="Z3" s="2" t="s">
        <v>193</v>
      </c>
    </row>
    <row r="4" customFormat="false" ht="15" hidden="false" customHeight="false" outlineLevel="0" collapsed="false">
      <c r="A4" s="2" t="s">
        <v>257</v>
      </c>
      <c r="B4" s="2" t="s">
        <v>440</v>
      </c>
      <c r="C4" s="2" t="s">
        <v>476</v>
      </c>
      <c r="D4" s="2" t="s">
        <v>477</v>
      </c>
      <c r="E4" s="2" t="s">
        <v>478</v>
      </c>
      <c r="F4" s="2" t="s">
        <v>479</v>
      </c>
      <c r="G4" s="2" t="s">
        <v>106</v>
      </c>
      <c r="H4" s="2" t="s">
        <v>418</v>
      </c>
      <c r="I4" s="2" t="s">
        <v>480</v>
      </c>
      <c r="J4" s="2" t="s">
        <v>220</v>
      </c>
      <c r="K4" s="2" t="s">
        <v>481</v>
      </c>
      <c r="L4" s="2" t="s">
        <v>482</v>
      </c>
      <c r="M4" s="2" t="s">
        <v>483</v>
      </c>
      <c r="N4" s="2" t="s">
        <v>302</v>
      </c>
      <c r="O4" s="2" t="s">
        <v>484</v>
      </c>
      <c r="P4" s="2" t="s">
        <v>31</v>
      </c>
      <c r="Q4" s="2" t="s">
        <v>485</v>
      </c>
      <c r="R4" s="2"/>
      <c r="S4" s="2" t="s">
        <v>486</v>
      </c>
      <c r="T4" s="2"/>
      <c r="U4" s="2"/>
      <c r="V4" s="2" t="s">
        <v>244</v>
      </c>
      <c r="W4" s="2" t="s">
        <v>405</v>
      </c>
      <c r="X4" s="2" t="s">
        <v>487</v>
      </c>
      <c r="Y4" s="2" t="s">
        <v>488</v>
      </c>
      <c r="Z4" s="2" t="s">
        <v>489</v>
      </c>
    </row>
    <row r="5" customFormat="false" ht="15" hidden="false" customHeight="false" outlineLevel="0" collapsed="false">
      <c r="A5" s="2" t="s">
        <v>258</v>
      </c>
      <c r="B5" s="2" t="s">
        <v>441</v>
      </c>
      <c r="C5" s="2" t="s">
        <v>131</v>
      </c>
      <c r="D5" s="2" t="s">
        <v>490</v>
      </c>
      <c r="E5" s="2" t="s">
        <v>491</v>
      </c>
      <c r="F5" s="2" t="s">
        <v>492</v>
      </c>
      <c r="G5" s="2"/>
      <c r="H5" s="2" t="s">
        <v>419</v>
      </c>
      <c r="I5" s="2" t="s">
        <v>493</v>
      </c>
      <c r="J5" s="2" t="s">
        <v>436</v>
      </c>
      <c r="K5" s="2" t="s">
        <v>494</v>
      </c>
      <c r="L5" s="2" t="s">
        <v>495</v>
      </c>
      <c r="M5" s="2" t="s">
        <v>496</v>
      </c>
      <c r="N5" s="2" t="s">
        <v>303</v>
      </c>
      <c r="O5" s="2" t="s">
        <v>497</v>
      </c>
      <c r="P5" s="2"/>
      <c r="Q5" s="2"/>
      <c r="R5" s="2"/>
      <c r="S5" s="2"/>
      <c r="T5" s="2"/>
      <c r="U5" s="2"/>
      <c r="V5" s="2" t="s">
        <v>234</v>
      </c>
      <c r="W5" s="2" t="s">
        <v>406</v>
      </c>
      <c r="X5" s="2"/>
      <c r="Y5" s="2" t="s">
        <v>498</v>
      </c>
      <c r="Z5" s="2"/>
    </row>
    <row r="6" customFormat="false" ht="15" hidden="false" customHeight="false" outlineLevel="0" collapsed="false">
      <c r="A6" s="2" t="s">
        <v>260</v>
      </c>
      <c r="B6" s="2" t="s">
        <v>442</v>
      </c>
      <c r="C6" s="2" t="s">
        <v>499</v>
      </c>
      <c r="D6" s="2" t="s">
        <v>500</v>
      </c>
      <c r="E6" s="2" t="s">
        <v>501</v>
      </c>
      <c r="F6" s="2" t="s">
        <v>502</v>
      </c>
      <c r="G6" s="2"/>
      <c r="H6" s="2" t="s">
        <v>420</v>
      </c>
      <c r="I6" s="2" t="s">
        <v>503</v>
      </c>
      <c r="J6" s="2"/>
      <c r="K6" s="2" t="s">
        <v>504</v>
      </c>
      <c r="L6" s="2" t="s">
        <v>505</v>
      </c>
      <c r="M6" s="2" t="s">
        <v>506</v>
      </c>
      <c r="N6" s="2" t="s">
        <v>304</v>
      </c>
      <c r="O6" s="2" t="s">
        <v>507</v>
      </c>
      <c r="P6" s="2"/>
      <c r="Q6" s="2"/>
      <c r="R6" s="2"/>
      <c r="S6" s="2"/>
      <c r="T6" s="2"/>
      <c r="U6" s="2"/>
      <c r="V6" s="2" t="s">
        <v>236</v>
      </c>
      <c r="W6" s="2" t="s">
        <v>407</v>
      </c>
      <c r="X6" s="2"/>
      <c r="Y6" s="2" t="s">
        <v>508</v>
      </c>
      <c r="Z6" s="2"/>
    </row>
    <row r="7" customFormat="false" ht="15" hidden="false" customHeight="false" outlineLevel="0" collapsed="false">
      <c r="A7" s="2" t="s">
        <v>261</v>
      </c>
      <c r="B7" s="2" t="s">
        <v>443</v>
      </c>
      <c r="C7" s="2" t="s">
        <v>509</v>
      </c>
      <c r="D7" s="2" t="s">
        <v>510</v>
      </c>
      <c r="E7" s="2" t="s">
        <v>436</v>
      </c>
      <c r="F7" s="2" t="s">
        <v>511</v>
      </c>
      <c r="G7" s="2"/>
      <c r="H7" s="2" t="s">
        <v>421</v>
      </c>
      <c r="I7" s="2" t="s">
        <v>512</v>
      </c>
      <c r="J7" s="2"/>
      <c r="K7" s="2" t="s">
        <v>513</v>
      </c>
      <c r="L7" s="2" t="s">
        <v>514</v>
      </c>
      <c r="M7" s="2" t="s">
        <v>515</v>
      </c>
      <c r="N7" s="2" t="s">
        <v>305</v>
      </c>
      <c r="O7" s="2" t="s">
        <v>516</v>
      </c>
      <c r="P7" s="2"/>
      <c r="Q7" s="2"/>
      <c r="R7" s="2"/>
      <c r="S7" s="2"/>
      <c r="T7" s="2"/>
      <c r="U7" s="2"/>
      <c r="V7" s="2" t="s">
        <v>238</v>
      </c>
      <c r="W7" s="2" t="s">
        <v>408</v>
      </c>
      <c r="X7" s="2"/>
      <c r="Y7" s="2" t="s">
        <v>517</v>
      </c>
      <c r="Z7" s="2"/>
    </row>
    <row r="8" customFormat="false" ht="15" hidden="false" customHeight="false" outlineLevel="0" collapsed="false">
      <c r="A8" s="2" t="s">
        <v>262</v>
      </c>
      <c r="B8" s="2" t="s">
        <v>444</v>
      </c>
      <c r="C8" s="2" t="s">
        <v>518</v>
      </c>
      <c r="D8" s="2" t="s">
        <v>124</v>
      </c>
      <c r="E8" s="2"/>
      <c r="F8" s="2" t="s">
        <v>436</v>
      </c>
      <c r="G8" s="2"/>
      <c r="H8" s="2" t="s">
        <v>422</v>
      </c>
      <c r="I8" s="2" t="s">
        <v>519</v>
      </c>
      <c r="J8" s="2"/>
      <c r="K8" s="2" t="s">
        <v>520</v>
      </c>
      <c r="L8" s="2"/>
      <c r="M8" s="2" t="s">
        <v>521</v>
      </c>
      <c r="N8" s="2" t="s">
        <v>307</v>
      </c>
      <c r="O8" s="2" t="s">
        <v>522</v>
      </c>
      <c r="P8" s="2"/>
      <c r="Q8" s="2"/>
      <c r="R8" s="2"/>
      <c r="S8" s="2"/>
      <c r="T8" s="2"/>
      <c r="U8" s="2"/>
      <c r="V8" s="2" t="s">
        <v>240</v>
      </c>
      <c r="W8" s="2" t="s">
        <v>409</v>
      </c>
      <c r="X8" s="2"/>
      <c r="Y8" s="2" t="s">
        <v>523</v>
      </c>
      <c r="Z8" s="2"/>
    </row>
    <row r="9" customFormat="false" ht="15" hidden="false" customHeight="false" outlineLevel="0" collapsed="false">
      <c r="A9" s="2" t="s">
        <v>263</v>
      </c>
      <c r="B9" s="2" t="s">
        <v>445</v>
      </c>
      <c r="C9" s="2" t="s">
        <v>524</v>
      </c>
      <c r="D9" s="2" t="s">
        <v>525</v>
      </c>
      <c r="E9" s="2"/>
      <c r="F9" s="2"/>
      <c r="G9" s="2"/>
      <c r="H9" s="2" t="s">
        <v>423</v>
      </c>
      <c r="I9" s="2" t="s">
        <v>526</v>
      </c>
      <c r="J9" s="2"/>
      <c r="K9" s="2" t="s">
        <v>436</v>
      </c>
      <c r="L9" s="2"/>
      <c r="M9" s="2" t="s">
        <v>527</v>
      </c>
      <c r="N9" s="2" t="s">
        <v>308</v>
      </c>
      <c r="O9" s="2" t="s">
        <v>528</v>
      </c>
      <c r="P9" s="2"/>
      <c r="Q9" s="2"/>
      <c r="R9" s="2"/>
      <c r="S9" s="2"/>
      <c r="T9" s="2"/>
      <c r="U9" s="2"/>
      <c r="V9" s="2" t="s">
        <v>246</v>
      </c>
      <c r="W9" s="2" t="s">
        <v>410</v>
      </c>
      <c r="X9" s="2"/>
      <c r="Y9" s="2" t="s">
        <v>529</v>
      </c>
      <c r="Z9" s="2"/>
    </row>
    <row r="10" customFormat="false" ht="15" hidden="false" customHeight="false" outlineLevel="0" collapsed="false">
      <c r="A10" s="2" t="s">
        <v>264</v>
      </c>
      <c r="B10" s="2" t="s">
        <v>446</v>
      </c>
      <c r="C10" s="2" t="s">
        <v>530</v>
      </c>
      <c r="D10" s="2" t="s">
        <v>531</v>
      </c>
      <c r="E10" s="2"/>
      <c r="F10" s="2"/>
      <c r="G10" s="2"/>
      <c r="H10" s="2" t="s">
        <v>424</v>
      </c>
      <c r="I10" s="2" t="s">
        <v>532</v>
      </c>
      <c r="J10" s="2"/>
      <c r="K10" s="2"/>
      <c r="L10" s="2"/>
      <c r="M10" s="2" t="s">
        <v>533</v>
      </c>
      <c r="N10" s="2" t="s">
        <v>309</v>
      </c>
      <c r="O10" s="2" t="s">
        <v>534</v>
      </c>
      <c r="P10" s="2"/>
      <c r="Q10" s="2"/>
      <c r="R10" s="2"/>
      <c r="S10" s="2"/>
      <c r="T10" s="2"/>
      <c r="U10" s="2"/>
      <c r="V10" s="2" t="s">
        <v>248</v>
      </c>
      <c r="W10" s="2" t="s">
        <v>411</v>
      </c>
      <c r="X10" s="2"/>
      <c r="Y10" s="2" t="s">
        <v>535</v>
      </c>
      <c r="Z10" s="2"/>
    </row>
    <row r="11" customFormat="false" ht="15" hidden="false" customHeight="false" outlineLevel="0" collapsed="false">
      <c r="A11" s="2" t="s">
        <v>266</v>
      </c>
      <c r="B11" s="2" t="s">
        <v>287</v>
      </c>
      <c r="C11" s="2" t="s">
        <v>536</v>
      </c>
      <c r="D11" s="2" t="s">
        <v>537</v>
      </c>
      <c r="E11" s="2"/>
      <c r="F11" s="2"/>
      <c r="G11" s="2"/>
      <c r="H11" s="2" t="s">
        <v>425</v>
      </c>
      <c r="I11" s="2" t="s">
        <v>538</v>
      </c>
      <c r="J11" s="2"/>
      <c r="K11" s="2"/>
      <c r="L11" s="2"/>
      <c r="M11" s="2" t="s">
        <v>436</v>
      </c>
      <c r="N11" s="2" t="s">
        <v>310</v>
      </c>
      <c r="O11" s="2" t="s">
        <v>539</v>
      </c>
      <c r="P11" s="2"/>
      <c r="Q11" s="2"/>
      <c r="R11" s="2"/>
      <c r="S11" s="2"/>
      <c r="T11" s="2"/>
      <c r="U11" s="2"/>
      <c r="V11" s="2"/>
      <c r="W11" s="2" t="s">
        <v>412</v>
      </c>
      <c r="X11" s="2"/>
      <c r="Y11" s="2"/>
      <c r="Z11" s="2"/>
    </row>
    <row r="12" customFormat="false" ht="15" hidden="false" customHeight="false" outlineLevel="0" collapsed="false">
      <c r="A12" s="2" t="s">
        <v>267</v>
      </c>
      <c r="B12" s="2" t="s">
        <v>447</v>
      </c>
      <c r="C12" s="2" t="s">
        <v>540</v>
      </c>
      <c r="D12" s="2" t="s">
        <v>541</v>
      </c>
      <c r="E12" s="2"/>
      <c r="F12" s="2"/>
      <c r="G12" s="2"/>
      <c r="H12" s="2" t="s">
        <v>426</v>
      </c>
      <c r="I12" s="2" t="s">
        <v>542</v>
      </c>
      <c r="J12" s="2"/>
      <c r="K12" s="2"/>
      <c r="L12" s="2"/>
      <c r="M12" s="2"/>
      <c r="N12" s="2" t="s">
        <v>311</v>
      </c>
      <c r="O12" s="2" t="s">
        <v>543</v>
      </c>
      <c r="P12" s="2"/>
      <c r="Q12" s="2"/>
      <c r="R12" s="2"/>
      <c r="S12" s="2"/>
      <c r="T12" s="2"/>
      <c r="U12" s="2"/>
      <c r="V12" s="2"/>
      <c r="W12" s="2" t="s">
        <v>413</v>
      </c>
      <c r="X12" s="2"/>
      <c r="Y12" s="2"/>
      <c r="Z12" s="2"/>
    </row>
    <row r="13" customFormat="false" ht="15" hidden="false" customHeight="false" outlineLevel="0" collapsed="false">
      <c r="A13" s="2" t="s">
        <v>268</v>
      </c>
      <c r="B13" s="2"/>
      <c r="C13" s="2" t="s">
        <v>544</v>
      </c>
      <c r="D13" s="2" t="s">
        <v>545</v>
      </c>
      <c r="E13" s="2"/>
      <c r="F13" s="2"/>
      <c r="G13" s="2"/>
      <c r="H13" s="2" t="s">
        <v>427</v>
      </c>
      <c r="I13" s="2" t="s">
        <v>546</v>
      </c>
      <c r="J13" s="2"/>
      <c r="K13" s="2"/>
      <c r="L13" s="2"/>
      <c r="M13" s="2"/>
      <c r="N13" s="2" t="s">
        <v>312</v>
      </c>
      <c r="O13" s="2" t="s">
        <v>547</v>
      </c>
      <c r="P13" s="2"/>
      <c r="Q13" s="2"/>
      <c r="R13" s="2"/>
      <c r="S13" s="2"/>
      <c r="T13" s="2"/>
      <c r="U13" s="2"/>
      <c r="V13" s="2"/>
      <c r="W13" s="2" t="s">
        <v>151</v>
      </c>
      <c r="X13" s="2"/>
      <c r="Y13" s="2"/>
      <c r="Z13" s="2"/>
    </row>
    <row r="14" customFormat="false" ht="15" hidden="false" customHeight="false" outlineLevel="0" collapsed="false">
      <c r="A14" s="2" t="s">
        <v>269</v>
      </c>
      <c r="B14" s="2"/>
      <c r="C14" s="2" t="s">
        <v>548</v>
      </c>
      <c r="D14" s="2" t="s">
        <v>436</v>
      </c>
      <c r="E14" s="2"/>
      <c r="F14" s="2"/>
      <c r="G14" s="2"/>
      <c r="H14" s="2" t="s">
        <v>428</v>
      </c>
      <c r="I14" s="2" t="s">
        <v>220</v>
      </c>
      <c r="J14" s="2"/>
      <c r="K14" s="2"/>
      <c r="L14" s="2"/>
      <c r="M14" s="2"/>
      <c r="N14" s="2" t="s">
        <v>314</v>
      </c>
      <c r="O14" s="2" t="s">
        <v>549</v>
      </c>
      <c r="P14" s="2"/>
      <c r="Q14" s="2"/>
      <c r="R14" s="2"/>
      <c r="S14" s="2"/>
      <c r="T14" s="2"/>
      <c r="U14" s="2"/>
      <c r="V14" s="2"/>
      <c r="W14" s="2"/>
      <c r="X14" s="2"/>
      <c r="Y14" s="2"/>
      <c r="Z14" s="2"/>
    </row>
    <row r="15" customFormat="false" ht="15" hidden="false" customHeight="false" outlineLevel="0" collapsed="false">
      <c r="A15" s="2" t="s">
        <v>270</v>
      </c>
      <c r="B15" s="2"/>
      <c r="C15" s="2" t="s">
        <v>550</v>
      </c>
      <c r="D15" s="2"/>
      <c r="E15" s="2"/>
      <c r="F15" s="2"/>
      <c r="G15" s="2"/>
      <c r="H15" s="2" t="s">
        <v>429</v>
      </c>
      <c r="I15" s="2" t="s">
        <v>436</v>
      </c>
      <c r="J15" s="2"/>
      <c r="K15" s="2"/>
      <c r="L15" s="2"/>
      <c r="M15" s="2"/>
      <c r="N15" s="2" t="s">
        <v>315</v>
      </c>
      <c r="O15" s="2" t="s">
        <v>551</v>
      </c>
      <c r="P15" s="2"/>
      <c r="Q15" s="2"/>
      <c r="R15" s="2"/>
      <c r="S15" s="2"/>
      <c r="T15" s="2"/>
      <c r="U15" s="2"/>
      <c r="V15" s="2"/>
      <c r="W15" s="2"/>
      <c r="X15" s="2"/>
      <c r="Y15" s="2"/>
      <c r="Z15" s="2"/>
    </row>
    <row r="16" customFormat="false" ht="15" hidden="false" customHeight="false" outlineLevel="0" collapsed="false">
      <c r="A16" s="2" t="s">
        <v>271</v>
      </c>
      <c r="B16" s="2"/>
      <c r="C16" s="2" t="s">
        <v>552</v>
      </c>
      <c r="D16" s="2"/>
      <c r="E16" s="2"/>
      <c r="F16" s="2"/>
      <c r="G16" s="2"/>
      <c r="H16" s="2" t="s">
        <v>430</v>
      </c>
      <c r="I16" s="2"/>
      <c r="J16" s="2"/>
      <c r="K16" s="2"/>
      <c r="L16" s="2"/>
      <c r="M16" s="2"/>
      <c r="N16" s="2" t="s">
        <v>317</v>
      </c>
      <c r="O16" s="2" t="s">
        <v>553</v>
      </c>
      <c r="P16" s="2"/>
      <c r="Q16" s="2"/>
      <c r="R16" s="2"/>
      <c r="S16" s="2"/>
      <c r="T16" s="2"/>
      <c r="U16" s="2"/>
      <c r="V16" s="2"/>
      <c r="W16" s="2"/>
      <c r="X16" s="2"/>
      <c r="Y16" s="2"/>
      <c r="Z16" s="2"/>
    </row>
    <row r="17" customFormat="false" ht="15" hidden="false" customHeight="false" outlineLevel="0" collapsed="false">
      <c r="A17" s="2" t="s">
        <v>272</v>
      </c>
      <c r="B17" s="2"/>
      <c r="C17" s="2" t="s">
        <v>554</v>
      </c>
      <c r="D17" s="2"/>
      <c r="E17" s="2"/>
      <c r="F17" s="2"/>
      <c r="G17" s="2"/>
      <c r="H17" s="2" t="s">
        <v>431</v>
      </c>
      <c r="I17" s="2"/>
      <c r="J17" s="2"/>
      <c r="K17" s="2"/>
      <c r="L17" s="2"/>
      <c r="M17" s="2"/>
      <c r="N17" s="2" t="s">
        <v>319</v>
      </c>
      <c r="O17" s="2" t="s">
        <v>555</v>
      </c>
      <c r="P17" s="2"/>
      <c r="Q17" s="2"/>
      <c r="R17" s="2"/>
      <c r="S17" s="2"/>
      <c r="T17" s="2"/>
      <c r="U17" s="2"/>
      <c r="V17" s="2"/>
      <c r="W17" s="2"/>
      <c r="X17" s="2"/>
      <c r="Y17" s="2"/>
      <c r="Z17" s="2"/>
    </row>
    <row r="18" customFormat="false" ht="15" hidden="false" customHeight="false" outlineLevel="0" collapsed="false">
      <c r="A18" s="2" t="s">
        <v>273</v>
      </c>
      <c r="B18" s="2"/>
      <c r="C18" s="2" t="s">
        <v>556</v>
      </c>
      <c r="D18" s="2"/>
      <c r="E18" s="2"/>
      <c r="F18" s="2"/>
      <c r="G18" s="2"/>
      <c r="H18" s="2" t="s">
        <v>432</v>
      </c>
      <c r="I18" s="2"/>
      <c r="J18" s="2"/>
      <c r="K18" s="2"/>
      <c r="L18" s="2"/>
      <c r="M18" s="2"/>
      <c r="N18" s="2" t="s">
        <v>321</v>
      </c>
      <c r="O18" s="2" t="s">
        <v>557</v>
      </c>
      <c r="P18" s="2"/>
      <c r="Q18" s="2"/>
      <c r="R18" s="2"/>
      <c r="S18" s="2"/>
      <c r="T18" s="2"/>
      <c r="U18" s="2"/>
      <c r="V18" s="2"/>
      <c r="W18" s="2"/>
      <c r="X18" s="2"/>
      <c r="Y18" s="2"/>
      <c r="Z18" s="2"/>
    </row>
    <row r="19" customFormat="false" ht="15" hidden="false" customHeight="false" outlineLevel="0" collapsed="false">
      <c r="A19" s="2" t="s">
        <v>274</v>
      </c>
      <c r="B19" s="2"/>
      <c r="C19" s="2" t="s">
        <v>558</v>
      </c>
      <c r="D19" s="2"/>
      <c r="E19" s="2"/>
      <c r="F19" s="2"/>
      <c r="G19" s="2"/>
      <c r="H19" s="2" t="s">
        <v>433</v>
      </c>
      <c r="I19" s="2"/>
      <c r="J19" s="2"/>
      <c r="K19" s="2"/>
      <c r="L19" s="2"/>
      <c r="M19" s="2"/>
      <c r="N19" s="2" t="s">
        <v>322</v>
      </c>
      <c r="O19" s="2" t="s">
        <v>559</v>
      </c>
      <c r="P19" s="2"/>
      <c r="Q19" s="2"/>
      <c r="R19" s="2"/>
      <c r="S19" s="2"/>
      <c r="T19" s="2"/>
      <c r="U19" s="2"/>
      <c r="V19" s="2"/>
      <c r="W19" s="2"/>
      <c r="X19" s="2"/>
      <c r="Y19" s="2"/>
      <c r="Z19" s="2"/>
    </row>
    <row r="20" customFormat="false" ht="15" hidden="false" customHeight="false" outlineLevel="0" collapsed="false">
      <c r="A20" s="2" t="s">
        <v>275</v>
      </c>
      <c r="B20" s="2"/>
      <c r="C20" s="2" t="s">
        <v>560</v>
      </c>
      <c r="D20" s="2"/>
      <c r="E20" s="2"/>
      <c r="F20" s="2"/>
      <c r="G20" s="2"/>
      <c r="H20" s="2" t="s">
        <v>434</v>
      </c>
      <c r="I20" s="2"/>
      <c r="J20" s="2"/>
      <c r="K20" s="2"/>
      <c r="L20" s="2"/>
      <c r="M20" s="2"/>
      <c r="N20" s="2" t="s">
        <v>323</v>
      </c>
      <c r="O20" s="2" t="s">
        <v>561</v>
      </c>
      <c r="P20" s="2"/>
      <c r="Q20" s="2"/>
      <c r="R20" s="2"/>
      <c r="S20" s="2"/>
      <c r="T20" s="2"/>
      <c r="U20" s="2"/>
      <c r="V20" s="2"/>
      <c r="W20" s="2"/>
      <c r="X20" s="2"/>
      <c r="Y20" s="2"/>
      <c r="Z20" s="2"/>
    </row>
    <row r="21" customFormat="false" ht="15" hidden="false" customHeight="false" outlineLevel="0" collapsed="false">
      <c r="A21" s="2" t="s">
        <v>276</v>
      </c>
      <c r="B21" s="2"/>
      <c r="C21" s="2" t="s">
        <v>562</v>
      </c>
      <c r="D21" s="2"/>
      <c r="E21" s="2"/>
      <c r="F21" s="2"/>
      <c r="G21" s="2"/>
      <c r="H21" s="2" t="s">
        <v>435</v>
      </c>
      <c r="I21" s="2"/>
      <c r="J21" s="2"/>
      <c r="K21" s="2"/>
      <c r="L21" s="2"/>
      <c r="M21" s="2"/>
      <c r="N21" s="2" t="s">
        <v>324</v>
      </c>
      <c r="O21" s="2" t="s">
        <v>563</v>
      </c>
      <c r="P21" s="2"/>
      <c r="Q21" s="2"/>
      <c r="R21" s="2"/>
      <c r="S21" s="2"/>
      <c r="T21" s="2"/>
      <c r="U21" s="2"/>
      <c r="V21" s="2"/>
      <c r="W21" s="2"/>
      <c r="X21" s="2"/>
      <c r="Y21" s="2"/>
      <c r="Z21" s="2"/>
    </row>
    <row r="22" customFormat="false" ht="15" hidden="false" customHeight="false" outlineLevel="0" collapsed="false">
      <c r="A22" s="2" t="s">
        <v>278</v>
      </c>
      <c r="B22" s="2"/>
      <c r="C22" s="2" t="s">
        <v>564</v>
      </c>
      <c r="D22" s="2"/>
      <c r="E22" s="2"/>
      <c r="F22" s="2"/>
      <c r="G22" s="2"/>
      <c r="H22" s="2" t="s">
        <v>436</v>
      </c>
      <c r="I22" s="2"/>
      <c r="J22" s="2"/>
      <c r="K22" s="2"/>
      <c r="L22" s="2"/>
      <c r="M22" s="2"/>
      <c r="N22" s="2" t="s">
        <v>325</v>
      </c>
      <c r="O22" s="2" t="s">
        <v>565</v>
      </c>
      <c r="P22" s="2"/>
      <c r="Q22" s="2"/>
      <c r="R22" s="2"/>
      <c r="S22" s="2"/>
      <c r="T22" s="2"/>
      <c r="U22" s="2"/>
      <c r="V22" s="2"/>
      <c r="W22" s="2"/>
      <c r="X22" s="2"/>
      <c r="Y22" s="2"/>
      <c r="Z22" s="2"/>
    </row>
    <row r="23" customFormat="false" ht="15" hidden="false" customHeight="false" outlineLevel="0" collapsed="false">
      <c r="A23" s="2" t="s">
        <v>279</v>
      </c>
      <c r="B23" s="2"/>
      <c r="C23" s="2" t="s">
        <v>566</v>
      </c>
      <c r="D23" s="2"/>
      <c r="E23" s="2"/>
      <c r="F23" s="2"/>
      <c r="G23" s="2"/>
      <c r="H23" s="2"/>
      <c r="I23" s="2"/>
      <c r="J23" s="2"/>
      <c r="K23" s="2"/>
      <c r="L23" s="2"/>
      <c r="M23" s="2"/>
      <c r="N23" s="2" t="s">
        <v>326</v>
      </c>
      <c r="O23" s="2" t="s">
        <v>567</v>
      </c>
      <c r="P23" s="2"/>
      <c r="Q23" s="2"/>
      <c r="R23" s="2"/>
      <c r="S23" s="2"/>
      <c r="T23" s="2"/>
      <c r="U23" s="2"/>
      <c r="V23" s="2"/>
      <c r="W23" s="2"/>
      <c r="X23" s="2"/>
      <c r="Y23" s="2"/>
      <c r="Z23" s="2"/>
    </row>
    <row r="24" customFormat="false" ht="15" hidden="false" customHeight="false" outlineLevel="0" collapsed="false">
      <c r="A24" s="2" t="s">
        <v>280</v>
      </c>
      <c r="B24" s="2"/>
      <c r="C24" s="2" t="s">
        <v>568</v>
      </c>
      <c r="D24" s="2"/>
      <c r="E24" s="2"/>
      <c r="F24" s="2"/>
      <c r="G24" s="2"/>
      <c r="H24" s="2"/>
      <c r="I24" s="2"/>
      <c r="J24" s="2"/>
      <c r="K24" s="2"/>
      <c r="L24" s="2"/>
      <c r="M24" s="2"/>
      <c r="N24" s="2" t="s">
        <v>328</v>
      </c>
      <c r="O24" s="2" t="s">
        <v>569</v>
      </c>
      <c r="P24" s="2"/>
      <c r="Q24" s="2"/>
      <c r="R24" s="2"/>
      <c r="S24" s="2"/>
      <c r="T24" s="2"/>
      <c r="U24" s="2"/>
      <c r="V24" s="2"/>
      <c r="W24" s="2"/>
      <c r="X24" s="2"/>
      <c r="Y24" s="2"/>
      <c r="Z24" s="2"/>
    </row>
    <row r="25" customFormat="false" ht="15" hidden="false" customHeight="false" outlineLevel="0" collapsed="false">
      <c r="A25" s="2" t="s">
        <v>281</v>
      </c>
      <c r="B25" s="2"/>
      <c r="C25" s="2" t="s">
        <v>570</v>
      </c>
      <c r="D25" s="2"/>
      <c r="E25" s="2"/>
      <c r="F25" s="2"/>
      <c r="G25" s="2"/>
      <c r="H25" s="2"/>
      <c r="I25" s="2"/>
      <c r="J25" s="2"/>
      <c r="K25" s="2"/>
      <c r="L25" s="2"/>
      <c r="M25" s="2"/>
      <c r="N25" s="2" t="s">
        <v>329</v>
      </c>
      <c r="O25" s="2" t="s">
        <v>571</v>
      </c>
      <c r="P25" s="2"/>
      <c r="Q25" s="2"/>
      <c r="R25" s="2"/>
      <c r="S25" s="2"/>
      <c r="T25" s="2"/>
      <c r="U25" s="2"/>
      <c r="V25" s="2"/>
      <c r="W25" s="2"/>
      <c r="X25" s="2"/>
      <c r="Y25" s="2"/>
      <c r="Z25" s="2"/>
    </row>
    <row r="26" customFormat="false" ht="15" hidden="false" customHeight="false" outlineLevel="0" collapsed="false">
      <c r="A26" s="2" t="s">
        <v>282</v>
      </c>
      <c r="B26" s="2"/>
      <c r="C26" s="2" t="s">
        <v>572</v>
      </c>
      <c r="D26" s="2"/>
      <c r="E26" s="2"/>
      <c r="F26" s="2"/>
      <c r="G26" s="2"/>
      <c r="H26" s="2"/>
      <c r="I26" s="2"/>
      <c r="J26" s="2"/>
      <c r="K26" s="2"/>
      <c r="L26" s="2"/>
      <c r="M26" s="2"/>
      <c r="N26" s="2" t="s">
        <v>330</v>
      </c>
      <c r="O26" s="2" t="s">
        <v>573</v>
      </c>
      <c r="P26" s="2"/>
      <c r="Q26" s="2"/>
      <c r="R26" s="2"/>
      <c r="S26" s="2"/>
      <c r="T26" s="2"/>
      <c r="U26" s="2"/>
      <c r="V26" s="2"/>
      <c r="W26" s="2"/>
      <c r="X26" s="2"/>
      <c r="Y26" s="2"/>
      <c r="Z26" s="2"/>
    </row>
    <row r="27" customFormat="false" ht="15" hidden="false" customHeight="false" outlineLevel="0" collapsed="false">
      <c r="A27" s="2" t="s">
        <v>283</v>
      </c>
      <c r="B27" s="2"/>
      <c r="C27" s="2" t="s">
        <v>574</v>
      </c>
      <c r="D27" s="2"/>
      <c r="E27" s="2"/>
      <c r="F27" s="2"/>
      <c r="G27" s="2"/>
      <c r="H27" s="2"/>
      <c r="I27" s="2"/>
      <c r="J27" s="2"/>
      <c r="K27" s="2"/>
      <c r="L27" s="2"/>
      <c r="M27" s="2"/>
      <c r="N27" s="2" t="s">
        <v>331</v>
      </c>
      <c r="O27" s="2" t="s">
        <v>575</v>
      </c>
      <c r="P27" s="2"/>
      <c r="Q27" s="2"/>
      <c r="R27" s="2"/>
      <c r="S27" s="2"/>
      <c r="T27" s="2"/>
      <c r="U27" s="2"/>
      <c r="V27" s="2"/>
      <c r="W27" s="2"/>
      <c r="X27" s="2"/>
      <c r="Y27" s="2"/>
      <c r="Z27" s="2"/>
    </row>
    <row r="28" customFormat="false" ht="15" hidden="false" customHeight="false" outlineLevel="0" collapsed="false">
      <c r="A28" s="2" t="s">
        <v>284</v>
      </c>
      <c r="B28" s="2"/>
      <c r="C28" s="2" t="s">
        <v>576</v>
      </c>
      <c r="D28" s="2"/>
      <c r="E28" s="2"/>
      <c r="F28" s="2"/>
      <c r="G28" s="2"/>
      <c r="H28" s="2"/>
      <c r="I28" s="2"/>
      <c r="J28" s="2"/>
      <c r="K28" s="2"/>
      <c r="L28" s="2"/>
      <c r="M28" s="2"/>
      <c r="N28" s="2" t="s">
        <v>332</v>
      </c>
      <c r="O28" s="2" t="s">
        <v>577</v>
      </c>
      <c r="P28" s="2"/>
      <c r="Q28" s="2"/>
      <c r="R28" s="2"/>
      <c r="S28" s="2"/>
      <c r="T28" s="2"/>
      <c r="U28" s="2"/>
      <c r="V28" s="2"/>
      <c r="W28" s="2"/>
      <c r="X28" s="2"/>
      <c r="Y28" s="2"/>
      <c r="Z28" s="2"/>
    </row>
    <row r="29" customFormat="false" ht="15" hidden="false" customHeight="false" outlineLevel="0" collapsed="false">
      <c r="A29" s="2" t="s">
        <v>285</v>
      </c>
      <c r="B29" s="2"/>
      <c r="C29" s="2" t="s">
        <v>578</v>
      </c>
      <c r="D29" s="2"/>
      <c r="E29" s="2"/>
      <c r="F29" s="2"/>
      <c r="G29" s="2"/>
      <c r="H29" s="2"/>
      <c r="I29" s="2"/>
      <c r="J29" s="2"/>
      <c r="K29" s="2"/>
      <c r="L29" s="2"/>
      <c r="M29" s="2"/>
      <c r="N29" s="2" t="s">
        <v>333</v>
      </c>
      <c r="O29" s="2" t="s">
        <v>579</v>
      </c>
      <c r="P29" s="2"/>
      <c r="Q29" s="2"/>
      <c r="R29" s="2"/>
      <c r="S29" s="2"/>
      <c r="T29" s="2"/>
      <c r="U29" s="2"/>
      <c r="V29" s="2"/>
      <c r="W29" s="2"/>
      <c r="X29" s="2"/>
      <c r="Y29" s="2"/>
      <c r="Z29" s="2"/>
    </row>
    <row r="30" customFormat="false" ht="15" hidden="false" customHeight="false" outlineLevel="0" collapsed="false">
      <c r="A30" s="2" t="s">
        <v>286</v>
      </c>
      <c r="B30" s="2"/>
      <c r="C30" s="2" t="s">
        <v>580</v>
      </c>
      <c r="D30" s="2"/>
      <c r="E30" s="2"/>
      <c r="F30" s="2"/>
      <c r="G30" s="2"/>
      <c r="H30" s="2"/>
      <c r="I30" s="2"/>
      <c r="J30" s="2"/>
      <c r="K30" s="2"/>
      <c r="L30" s="2"/>
      <c r="M30" s="2"/>
      <c r="N30" s="2" t="s">
        <v>334</v>
      </c>
      <c r="O30" s="2" t="s">
        <v>581</v>
      </c>
      <c r="P30" s="2"/>
      <c r="Q30" s="2"/>
      <c r="R30" s="2"/>
      <c r="S30" s="2"/>
      <c r="T30" s="2"/>
      <c r="U30" s="2"/>
      <c r="V30" s="2"/>
      <c r="W30" s="2"/>
      <c r="X30" s="2"/>
      <c r="Y30" s="2"/>
      <c r="Z30" s="2"/>
    </row>
    <row r="31" customFormat="false" ht="15" hidden="false" customHeight="false" outlineLevel="0" collapsed="false">
      <c r="A31" s="2" t="s">
        <v>288</v>
      </c>
      <c r="B31" s="2"/>
      <c r="C31" s="2" t="s">
        <v>582</v>
      </c>
      <c r="D31" s="2"/>
      <c r="E31" s="2"/>
      <c r="F31" s="2"/>
      <c r="G31" s="2"/>
      <c r="H31" s="2"/>
      <c r="I31" s="2"/>
      <c r="J31" s="2"/>
      <c r="K31" s="2"/>
      <c r="L31" s="2"/>
      <c r="M31" s="2"/>
      <c r="N31" s="2" t="s">
        <v>335</v>
      </c>
      <c r="O31" s="2" t="s">
        <v>583</v>
      </c>
      <c r="P31" s="2"/>
      <c r="Q31" s="2"/>
      <c r="R31" s="2"/>
      <c r="S31" s="2"/>
      <c r="T31" s="2"/>
      <c r="U31" s="2"/>
      <c r="V31" s="2"/>
      <c r="W31" s="2"/>
      <c r="X31" s="2"/>
      <c r="Y31" s="2"/>
      <c r="Z31" s="2"/>
    </row>
    <row r="32" customFormat="false" ht="15" hidden="false" customHeight="false" outlineLevel="0" collapsed="false">
      <c r="A32" s="2" t="s">
        <v>289</v>
      </c>
      <c r="B32" s="2"/>
      <c r="C32" s="2" t="s">
        <v>584</v>
      </c>
      <c r="D32" s="2"/>
      <c r="E32" s="2"/>
      <c r="F32" s="2"/>
      <c r="G32" s="2"/>
      <c r="H32" s="2"/>
      <c r="I32" s="2"/>
      <c r="J32" s="2"/>
      <c r="K32" s="2"/>
      <c r="L32" s="2"/>
      <c r="M32" s="2"/>
      <c r="N32" s="2" t="s">
        <v>336</v>
      </c>
      <c r="O32" s="2" t="s">
        <v>585</v>
      </c>
      <c r="P32" s="2"/>
      <c r="Q32" s="2"/>
      <c r="R32" s="2"/>
      <c r="S32" s="2"/>
      <c r="T32" s="2"/>
      <c r="U32" s="2"/>
      <c r="V32" s="2"/>
      <c r="W32" s="2"/>
      <c r="X32" s="2"/>
      <c r="Y32" s="2"/>
      <c r="Z32" s="2"/>
    </row>
    <row r="33" customFormat="false" ht="15" hidden="false" customHeight="false" outlineLevel="0" collapsed="false">
      <c r="A33" s="2" t="s">
        <v>290</v>
      </c>
      <c r="B33" s="2"/>
      <c r="C33" s="2" t="s">
        <v>586</v>
      </c>
      <c r="D33" s="2"/>
      <c r="E33" s="2"/>
      <c r="F33" s="2"/>
      <c r="G33" s="2"/>
      <c r="H33" s="2"/>
      <c r="I33" s="2"/>
      <c r="J33" s="2"/>
      <c r="K33" s="2"/>
      <c r="L33" s="2"/>
      <c r="M33" s="2"/>
      <c r="N33" s="2" t="s">
        <v>337</v>
      </c>
      <c r="O33" s="2" t="s">
        <v>587</v>
      </c>
      <c r="P33" s="2"/>
      <c r="Q33" s="2"/>
      <c r="R33" s="2"/>
      <c r="S33" s="2"/>
      <c r="T33" s="2"/>
      <c r="U33" s="2"/>
      <c r="V33" s="2"/>
      <c r="W33" s="2"/>
      <c r="X33" s="2"/>
      <c r="Y33" s="2"/>
      <c r="Z33" s="2"/>
    </row>
    <row r="34" customFormat="false" ht="15" hidden="false" customHeight="false" outlineLevel="0" collapsed="false">
      <c r="A34" s="2" t="s">
        <v>291</v>
      </c>
      <c r="B34" s="2"/>
      <c r="C34" s="2" t="s">
        <v>588</v>
      </c>
      <c r="D34" s="2"/>
      <c r="E34" s="2"/>
      <c r="F34" s="2"/>
      <c r="G34" s="2"/>
      <c r="H34" s="2"/>
      <c r="I34" s="2"/>
      <c r="J34" s="2"/>
      <c r="K34" s="2"/>
      <c r="L34" s="2"/>
      <c r="M34" s="2"/>
      <c r="N34" s="2" t="s">
        <v>147</v>
      </c>
      <c r="O34" s="2" t="s">
        <v>589</v>
      </c>
      <c r="P34" s="2"/>
      <c r="Q34" s="2"/>
      <c r="R34" s="2"/>
      <c r="S34" s="2"/>
      <c r="T34" s="2"/>
      <c r="U34" s="2"/>
      <c r="V34" s="2"/>
      <c r="W34" s="2"/>
      <c r="X34" s="2"/>
      <c r="Y34" s="2"/>
      <c r="Z34" s="2"/>
    </row>
    <row r="35" customFormat="false" ht="15" hidden="false" customHeight="false" outlineLevel="0" collapsed="false">
      <c r="A35" s="2" t="s">
        <v>292</v>
      </c>
      <c r="B35" s="2"/>
      <c r="C35" s="2" t="s">
        <v>590</v>
      </c>
      <c r="D35" s="2"/>
      <c r="E35" s="2"/>
      <c r="F35" s="2"/>
      <c r="G35" s="2"/>
      <c r="H35" s="2"/>
      <c r="I35" s="2"/>
      <c r="J35" s="2"/>
      <c r="K35" s="2"/>
      <c r="L35" s="2"/>
      <c r="M35" s="2"/>
      <c r="N35" s="2" t="s">
        <v>338</v>
      </c>
      <c r="O35" s="2" t="s">
        <v>591</v>
      </c>
      <c r="P35" s="2"/>
      <c r="Q35" s="2"/>
      <c r="R35" s="2"/>
      <c r="S35" s="2"/>
      <c r="T35" s="2"/>
      <c r="U35" s="2"/>
      <c r="V35" s="2"/>
      <c r="W35" s="2"/>
      <c r="X35" s="2"/>
      <c r="Y35" s="2"/>
      <c r="Z35" s="2"/>
    </row>
    <row r="36" customFormat="false" ht="15" hidden="false" customHeight="false" outlineLevel="0" collapsed="false">
      <c r="A36" s="2" t="s">
        <v>293</v>
      </c>
      <c r="B36" s="2"/>
      <c r="C36" s="2" t="s">
        <v>592</v>
      </c>
      <c r="D36" s="2"/>
      <c r="E36" s="2"/>
      <c r="F36" s="2"/>
      <c r="G36" s="2"/>
      <c r="H36" s="2"/>
      <c r="I36" s="2"/>
      <c r="J36" s="2"/>
      <c r="K36" s="2"/>
      <c r="L36" s="2"/>
      <c r="M36" s="2"/>
      <c r="N36" s="2" t="s">
        <v>339</v>
      </c>
      <c r="O36" s="2" t="s">
        <v>593</v>
      </c>
      <c r="P36" s="2"/>
      <c r="Q36" s="2"/>
      <c r="R36" s="2"/>
      <c r="S36" s="2"/>
      <c r="T36" s="2"/>
      <c r="U36" s="2"/>
      <c r="V36" s="2"/>
      <c r="W36" s="2"/>
      <c r="X36" s="2"/>
      <c r="Y36" s="2"/>
      <c r="Z36" s="2"/>
    </row>
    <row r="37" customFormat="false" ht="15" hidden="false" customHeight="false" outlineLevel="0" collapsed="false">
      <c r="A37" s="2"/>
      <c r="B37" s="2"/>
      <c r="C37" s="2"/>
      <c r="D37" s="2"/>
      <c r="E37" s="2"/>
      <c r="F37" s="2"/>
      <c r="G37" s="2"/>
      <c r="H37" s="2"/>
      <c r="I37" s="2"/>
      <c r="J37" s="2"/>
      <c r="K37" s="2"/>
      <c r="L37" s="2"/>
      <c r="M37" s="2"/>
      <c r="N37" s="2" t="s">
        <v>341</v>
      </c>
      <c r="O37" s="2" t="s">
        <v>594</v>
      </c>
      <c r="P37" s="2"/>
      <c r="Q37" s="2"/>
      <c r="R37" s="2"/>
      <c r="S37" s="2"/>
      <c r="T37" s="2"/>
      <c r="U37" s="2"/>
      <c r="V37" s="2"/>
      <c r="W37" s="2"/>
      <c r="X37" s="2"/>
      <c r="Y37" s="2"/>
      <c r="Z37" s="2"/>
    </row>
    <row r="38" customFormat="false" ht="15" hidden="false" customHeight="false" outlineLevel="0" collapsed="false">
      <c r="A38" s="2"/>
      <c r="B38" s="2"/>
      <c r="C38" s="2"/>
      <c r="D38" s="2"/>
      <c r="E38" s="2"/>
      <c r="F38" s="2"/>
      <c r="G38" s="2"/>
      <c r="H38" s="2"/>
      <c r="I38" s="2"/>
      <c r="J38" s="2"/>
      <c r="K38" s="2"/>
      <c r="L38" s="2"/>
      <c r="M38" s="2"/>
      <c r="N38" s="2" t="s">
        <v>342</v>
      </c>
      <c r="O38" s="2" t="s">
        <v>595</v>
      </c>
      <c r="P38" s="2"/>
      <c r="Q38" s="2"/>
      <c r="R38" s="2"/>
      <c r="S38" s="2"/>
      <c r="T38" s="2"/>
      <c r="U38" s="2"/>
      <c r="V38" s="2"/>
      <c r="W38" s="2"/>
      <c r="X38" s="2"/>
      <c r="Y38" s="2"/>
      <c r="Z38" s="2"/>
    </row>
    <row r="39" customFormat="false" ht="15" hidden="false" customHeight="false" outlineLevel="0" collapsed="false">
      <c r="A39" s="2"/>
      <c r="B39" s="2"/>
      <c r="C39" s="2"/>
      <c r="D39" s="2"/>
      <c r="E39" s="2"/>
      <c r="F39" s="2"/>
      <c r="G39" s="2"/>
      <c r="H39" s="2"/>
      <c r="I39" s="2"/>
      <c r="J39" s="2"/>
      <c r="K39" s="2"/>
      <c r="L39" s="2"/>
      <c r="M39" s="2"/>
      <c r="N39" s="2" t="s">
        <v>343</v>
      </c>
      <c r="O39" s="2" t="s">
        <v>596</v>
      </c>
      <c r="P39" s="2"/>
      <c r="Q39" s="2"/>
      <c r="R39" s="2"/>
      <c r="S39" s="2"/>
      <c r="T39" s="2"/>
      <c r="U39" s="2"/>
      <c r="V39" s="2"/>
      <c r="W39" s="2"/>
      <c r="X39" s="2"/>
      <c r="Y39" s="2"/>
      <c r="Z39" s="2"/>
    </row>
    <row r="40" customFormat="false" ht="15" hidden="false" customHeight="false" outlineLevel="0" collapsed="false">
      <c r="A40" s="2"/>
      <c r="B40" s="2"/>
      <c r="C40" s="2"/>
      <c r="D40" s="2"/>
      <c r="E40" s="2"/>
      <c r="F40" s="2"/>
      <c r="G40" s="2"/>
      <c r="H40" s="2"/>
      <c r="I40" s="2"/>
      <c r="J40" s="2"/>
      <c r="K40" s="2"/>
      <c r="L40" s="2"/>
      <c r="M40" s="2"/>
      <c r="N40" s="2" t="s">
        <v>344</v>
      </c>
      <c r="O40" s="2" t="s">
        <v>597</v>
      </c>
      <c r="P40" s="2"/>
      <c r="Q40" s="2"/>
      <c r="R40" s="2"/>
      <c r="S40" s="2"/>
      <c r="T40" s="2"/>
      <c r="U40" s="2"/>
      <c r="V40" s="2"/>
      <c r="W40" s="2"/>
      <c r="X40" s="2"/>
      <c r="Y40" s="2"/>
      <c r="Z40" s="2"/>
    </row>
    <row r="41" customFormat="false" ht="15" hidden="false" customHeight="false" outlineLevel="0" collapsed="false">
      <c r="A41" s="2"/>
      <c r="B41" s="2"/>
      <c r="C41" s="2"/>
      <c r="D41" s="2"/>
      <c r="E41" s="2"/>
      <c r="F41" s="2"/>
      <c r="G41" s="2"/>
      <c r="H41" s="2"/>
      <c r="I41" s="2"/>
      <c r="J41" s="2"/>
      <c r="K41" s="2"/>
      <c r="L41" s="2"/>
      <c r="M41" s="2"/>
      <c r="N41" s="2" t="s">
        <v>345</v>
      </c>
      <c r="O41" s="2" t="s">
        <v>598</v>
      </c>
      <c r="P41" s="2"/>
      <c r="Q41" s="2"/>
      <c r="R41" s="2"/>
      <c r="S41" s="2"/>
      <c r="T41" s="2"/>
      <c r="U41" s="2"/>
      <c r="V41" s="2"/>
      <c r="W41" s="2"/>
      <c r="X41" s="2"/>
      <c r="Y41" s="2"/>
      <c r="Z41" s="2"/>
    </row>
    <row r="42" customFormat="false" ht="15" hidden="false" customHeight="false" outlineLevel="0" collapsed="false">
      <c r="A42" s="2"/>
      <c r="B42" s="2"/>
      <c r="C42" s="2"/>
      <c r="D42" s="2"/>
      <c r="E42" s="2"/>
      <c r="F42" s="2"/>
      <c r="G42" s="2"/>
      <c r="H42" s="2"/>
      <c r="I42" s="2"/>
      <c r="J42" s="2"/>
      <c r="K42" s="2"/>
      <c r="L42" s="2"/>
      <c r="M42" s="2"/>
      <c r="N42" s="2" t="s">
        <v>346</v>
      </c>
      <c r="O42" s="2" t="s">
        <v>599</v>
      </c>
      <c r="P42" s="2"/>
      <c r="Q42" s="2"/>
      <c r="R42" s="2"/>
      <c r="S42" s="2"/>
      <c r="T42" s="2"/>
      <c r="U42" s="2"/>
      <c r="V42" s="2"/>
      <c r="W42" s="2"/>
      <c r="X42" s="2"/>
      <c r="Y42" s="2"/>
      <c r="Z42" s="2"/>
    </row>
    <row r="43" customFormat="false" ht="15" hidden="false" customHeight="false" outlineLevel="0" collapsed="false">
      <c r="A43" s="2"/>
      <c r="B43" s="2"/>
      <c r="C43" s="2"/>
      <c r="D43" s="2"/>
      <c r="E43" s="2"/>
      <c r="F43" s="2"/>
      <c r="G43" s="2"/>
      <c r="H43" s="2"/>
      <c r="I43" s="2"/>
      <c r="J43" s="2"/>
      <c r="K43" s="2"/>
      <c r="L43" s="2"/>
      <c r="M43" s="2"/>
      <c r="N43" s="2" t="s">
        <v>348</v>
      </c>
      <c r="O43" s="2" t="s">
        <v>600</v>
      </c>
      <c r="P43" s="2"/>
      <c r="Q43" s="2"/>
      <c r="R43" s="2"/>
      <c r="S43" s="2"/>
      <c r="T43" s="2"/>
      <c r="U43" s="2"/>
      <c r="V43" s="2"/>
      <c r="W43" s="2"/>
      <c r="X43" s="2"/>
      <c r="Y43" s="2"/>
      <c r="Z43" s="2"/>
    </row>
    <row r="44" customFormat="false" ht="15" hidden="false" customHeight="false" outlineLevel="0" collapsed="false">
      <c r="A44" s="2"/>
      <c r="B44" s="2"/>
      <c r="C44" s="2"/>
      <c r="D44" s="2"/>
      <c r="E44" s="2"/>
      <c r="F44" s="2"/>
      <c r="G44" s="2"/>
      <c r="H44" s="2"/>
      <c r="I44" s="2"/>
      <c r="J44" s="2"/>
      <c r="K44" s="2"/>
      <c r="L44" s="2"/>
      <c r="M44" s="2"/>
      <c r="N44" s="2" t="s">
        <v>349</v>
      </c>
      <c r="O44" s="2" t="s">
        <v>601</v>
      </c>
      <c r="P44" s="2"/>
      <c r="Q44" s="2"/>
      <c r="R44" s="2"/>
      <c r="S44" s="2"/>
      <c r="T44" s="2"/>
      <c r="U44" s="2"/>
      <c r="V44" s="2"/>
      <c r="W44" s="2"/>
      <c r="X44" s="2"/>
      <c r="Y44" s="2"/>
      <c r="Z44" s="2"/>
    </row>
    <row r="45" customFormat="false" ht="15" hidden="false" customHeight="false" outlineLevel="0" collapsed="false">
      <c r="A45" s="2"/>
      <c r="B45" s="2"/>
      <c r="C45" s="2"/>
      <c r="D45" s="2"/>
      <c r="E45" s="2"/>
      <c r="F45" s="2"/>
      <c r="G45" s="2"/>
      <c r="H45" s="2"/>
      <c r="I45" s="2"/>
      <c r="J45" s="2"/>
      <c r="K45" s="2"/>
      <c r="L45" s="2"/>
      <c r="M45" s="2"/>
      <c r="N45" s="2" t="s">
        <v>350</v>
      </c>
      <c r="O45" s="2" t="s">
        <v>602</v>
      </c>
      <c r="P45" s="2"/>
      <c r="Q45" s="2"/>
      <c r="R45" s="2"/>
      <c r="S45" s="2"/>
      <c r="T45" s="2"/>
      <c r="U45" s="2"/>
      <c r="V45" s="2"/>
      <c r="W45" s="2"/>
      <c r="X45" s="2"/>
      <c r="Y45" s="2"/>
      <c r="Z45" s="2"/>
    </row>
    <row r="46" customFormat="false" ht="15" hidden="false" customHeight="false" outlineLevel="0" collapsed="false">
      <c r="A46" s="2"/>
      <c r="B46" s="2"/>
      <c r="C46" s="2"/>
      <c r="D46" s="2"/>
      <c r="E46" s="2"/>
      <c r="F46" s="2"/>
      <c r="G46" s="2"/>
      <c r="H46" s="2"/>
      <c r="I46" s="2"/>
      <c r="J46" s="2"/>
      <c r="K46" s="2"/>
      <c r="L46" s="2"/>
      <c r="M46" s="2"/>
      <c r="N46" s="2" t="s">
        <v>351</v>
      </c>
      <c r="O46" s="2" t="s">
        <v>603</v>
      </c>
      <c r="P46" s="2"/>
      <c r="Q46" s="2"/>
      <c r="R46" s="2"/>
      <c r="S46" s="2"/>
      <c r="T46" s="2"/>
      <c r="U46" s="2"/>
      <c r="V46" s="2"/>
      <c r="W46" s="2"/>
      <c r="X46" s="2"/>
      <c r="Y46" s="2"/>
      <c r="Z46" s="2"/>
    </row>
    <row r="47" customFormat="false" ht="15" hidden="false" customHeight="false" outlineLevel="0" collapsed="false">
      <c r="A47" s="2"/>
      <c r="B47" s="2"/>
      <c r="C47" s="2"/>
      <c r="D47" s="2"/>
      <c r="E47" s="2"/>
      <c r="F47" s="2"/>
      <c r="G47" s="2"/>
      <c r="H47" s="2"/>
      <c r="I47" s="2"/>
      <c r="J47" s="2"/>
      <c r="K47" s="2"/>
      <c r="L47" s="2"/>
      <c r="M47" s="2"/>
      <c r="N47" s="2" t="s">
        <v>352</v>
      </c>
      <c r="O47" s="2" t="s">
        <v>604</v>
      </c>
      <c r="P47" s="2"/>
      <c r="Q47" s="2"/>
      <c r="R47" s="2"/>
      <c r="S47" s="2"/>
      <c r="T47" s="2"/>
      <c r="U47" s="2"/>
      <c r="V47" s="2"/>
      <c r="W47" s="2"/>
      <c r="X47" s="2"/>
      <c r="Y47" s="2"/>
      <c r="Z47" s="2"/>
    </row>
    <row r="48" customFormat="false" ht="15" hidden="false" customHeight="false" outlineLevel="0" collapsed="false">
      <c r="A48" s="2"/>
      <c r="B48" s="2"/>
      <c r="C48" s="2"/>
      <c r="D48" s="2"/>
      <c r="E48" s="2"/>
      <c r="F48" s="2"/>
      <c r="G48" s="2"/>
      <c r="H48" s="2"/>
      <c r="I48" s="2"/>
      <c r="J48" s="2"/>
      <c r="K48" s="2"/>
      <c r="L48" s="2"/>
      <c r="M48" s="2"/>
      <c r="N48" s="2" t="s">
        <v>353</v>
      </c>
      <c r="O48" s="2" t="s">
        <v>605</v>
      </c>
      <c r="P48" s="2"/>
      <c r="Q48" s="2"/>
      <c r="R48" s="2"/>
      <c r="S48" s="2"/>
      <c r="T48" s="2"/>
      <c r="U48" s="2"/>
      <c r="V48" s="2"/>
      <c r="W48" s="2"/>
      <c r="X48" s="2"/>
      <c r="Y48" s="2"/>
      <c r="Z48" s="2"/>
    </row>
    <row r="49" customFormat="false" ht="15" hidden="false" customHeight="false" outlineLevel="0" collapsed="false">
      <c r="A49" s="2"/>
      <c r="B49" s="2"/>
      <c r="C49" s="2"/>
      <c r="D49" s="2"/>
      <c r="E49" s="2"/>
      <c r="F49" s="2"/>
      <c r="G49" s="2"/>
      <c r="H49" s="2"/>
      <c r="I49" s="2"/>
      <c r="J49" s="2"/>
      <c r="K49" s="2"/>
      <c r="L49" s="2"/>
      <c r="M49" s="2"/>
      <c r="N49" s="2" t="s">
        <v>354</v>
      </c>
      <c r="O49" s="2" t="s">
        <v>606</v>
      </c>
      <c r="P49" s="2"/>
      <c r="Q49" s="2"/>
      <c r="R49" s="2"/>
      <c r="S49" s="2"/>
      <c r="T49" s="2"/>
      <c r="U49" s="2"/>
      <c r="V49" s="2"/>
      <c r="W49" s="2"/>
      <c r="X49" s="2"/>
      <c r="Y49" s="2"/>
      <c r="Z49" s="2"/>
    </row>
    <row r="50" customFormat="false" ht="15" hidden="false" customHeight="false" outlineLevel="0" collapsed="false">
      <c r="A50" s="2"/>
      <c r="B50" s="2"/>
      <c r="C50" s="2"/>
      <c r="D50" s="2"/>
      <c r="E50" s="2"/>
      <c r="F50" s="2"/>
      <c r="G50" s="2"/>
      <c r="H50" s="2"/>
      <c r="I50" s="2"/>
      <c r="J50" s="2"/>
      <c r="K50" s="2"/>
      <c r="L50" s="2"/>
      <c r="M50" s="2"/>
      <c r="N50" s="2" t="s">
        <v>355</v>
      </c>
      <c r="O50" s="2" t="s">
        <v>607</v>
      </c>
      <c r="P50" s="2"/>
      <c r="Q50" s="2"/>
      <c r="R50" s="2"/>
      <c r="S50" s="2"/>
      <c r="T50" s="2"/>
      <c r="U50" s="2"/>
      <c r="V50" s="2"/>
      <c r="W50" s="2"/>
      <c r="X50" s="2"/>
      <c r="Y50" s="2"/>
      <c r="Z50" s="2"/>
    </row>
    <row r="51" customFormat="false" ht="15" hidden="false" customHeight="false" outlineLevel="0" collapsed="false">
      <c r="A51" s="2"/>
      <c r="B51" s="2"/>
      <c r="C51" s="2"/>
      <c r="D51" s="2"/>
      <c r="E51" s="2"/>
      <c r="F51" s="2"/>
      <c r="G51" s="2"/>
      <c r="H51" s="2"/>
      <c r="I51" s="2"/>
      <c r="J51" s="2"/>
      <c r="K51" s="2"/>
      <c r="L51" s="2"/>
      <c r="M51" s="2"/>
      <c r="N51" s="2" t="s">
        <v>356</v>
      </c>
      <c r="O51" s="2" t="s">
        <v>608</v>
      </c>
      <c r="P51" s="2"/>
      <c r="Q51" s="2"/>
      <c r="R51" s="2"/>
      <c r="S51" s="2"/>
      <c r="T51" s="2"/>
      <c r="U51" s="2"/>
      <c r="V51" s="2"/>
      <c r="W51" s="2"/>
      <c r="X51" s="2"/>
      <c r="Y51" s="2"/>
      <c r="Z51" s="2"/>
    </row>
    <row r="52" customFormat="false" ht="15" hidden="false" customHeight="false" outlineLevel="0" collapsed="false">
      <c r="A52" s="2"/>
      <c r="B52" s="2"/>
      <c r="C52" s="2"/>
      <c r="D52" s="2"/>
      <c r="E52" s="2"/>
      <c r="F52" s="2"/>
      <c r="G52" s="2"/>
      <c r="H52" s="2"/>
      <c r="I52" s="2"/>
      <c r="J52" s="2"/>
      <c r="K52" s="2"/>
      <c r="L52" s="2"/>
      <c r="M52" s="2"/>
      <c r="N52" s="2" t="s">
        <v>357</v>
      </c>
      <c r="O52" s="2" t="s">
        <v>609</v>
      </c>
      <c r="P52" s="2"/>
      <c r="Q52" s="2"/>
      <c r="R52" s="2"/>
      <c r="S52" s="2"/>
      <c r="T52" s="2"/>
      <c r="U52" s="2"/>
      <c r="V52" s="2"/>
      <c r="W52" s="2"/>
      <c r="X52" s="2"/>
      <c r="Y52" s="2"/>
      <c r="Z52" s="2"/>
    </row>
    <row r="53" customFormat="false" ht="15" hidden="false" customHeight="false" outlineLevel="0" collapsed="false">
      <c r="A53" s="2"/>
      <c r="B53" s="2"/>
      <c r="C53" s="2"/>
      <c r="D53" s="2"/>
      <c r="E53" s="2"/>
      <c r="F53" s="2"/>
      <c r="G53" s="2"/>
      <c r="H53" s="2"/>
      <c r="I53" s="2"/>
      <c r="J53" s="2"/>
      <c r="K53" s="2"/>
      <c r="L53" s="2"/>
      <c r="M53" s="2"/>
      <c r="N53" s="2" t="s">
        <v>358</v>
      </c>
      <c r="O53" s="2" t="s">
        <v>610</v>
      </c>
      <c r="P53" s="2"/>
      <c r="Q53" s="2"/>
      <c r="R53" s="2"/>
      <c r="S53" s="2"/>
      <c r="T53" s="2"/>
      <c r="U53" s="2"/>
      <c r="V53" s="2"/>
      <c r="W53" s="2"/>
      <c r="X53" s="2"/>
      <c r="Y53" s="2"/>
      <c r="Z53" s="2"/>
    </row>
    <row r="54" customFormat="false" ht="15" hidden="false" customHeight="false" outlineLevel="0" collapsed="false">
      <c r="A54" s="2"/>
      <c r="B54" s="2"/>
      <c r="C54" s="2"/>
      <c r="D54" s="2"/>
      <c r="E54" s="2"/>
      <c r="F54" s="2"/>
      <c r="G54" s="2"/>
      <c r="H54" s="2"/>
      <c r="I54" s="2"/>
      <c r="J54" s="2"/>
      <c r="K54" s="2"/>
      <c r="L54" s="2"/>
      <c r="M54" s="2"/>
      <c r="N54" s="2" t="s">
        <v>359</v>
      </c>
      <c r="O54" s="2" t="s">
        <v>611</v>
      </c>
      <c r="P54" s="2"/>
      <c r="Q54" s="2"/>
      <c r="R54" s="2"/>
      <c r="S54" s="2"/>
      <c r="T54" s="2"/>
      <c r="U54" s="2"/>
      <c r="V54" s="2"/>
      <c r="W54" s="2"/>
      <c r="X54" s="2"/>
      <c r="Y54" s="2"/>
      <c r="Z54" s="2"/>
    </row>
    <row r="55" customFormat="false" ht="15" hidden="false" customHeight="false" outlineLevel="0" collapsed="false">
      <c r="A55" s="2"/>
      <c r="B55" s="2"/>
      <c r="C55" s="2"/>
      <c r="D55" s="2"/>
      <c r="E55" s="2"/>
      <c r="F55" s="2"/>
      <c r="G55" s="2"/>
      <c r="H55" s="2"/>
      <c r="I55" s="2"/>
      <c r="J55" s="2"/>
      <c r="K55" s="2"/>
      <c r="L55" s="2"/>
      <c r="M55" s="2"/>
      <c r="N55" s="2" t="s">
        <v>360</v>
      </c>
      <c r="O55" s="2" t="s">
        <v>612</v>
      </c>
      <c r="P55" s="2"/>
      <c r="Q55" s="2"/>
      <c r="R55" s="2"/>
      <c r="S55" s="2"/>
      <c r="T55" s="2"/>
      <c r="U55" s="2"/>
      <c r="V55" s="2"/>
      <c r="W55" s="2"/>
      <c r="X55" s="2"/>
      <c r="Y55" s="2"/>
      <c r="Z55" s="2"/>
    </row>
    <row r="56" customFormat="false" ht="15" hidden="false" customHeight="false" outlineLevel="0" collapsed="false">
      <c r="A56" s="2"/>
      <c r="B56" s="2"/>
      <c r="C56" s="2"/>
      <c r="D56" s="2"/>
      <c r="E56" s="2"/>
      <c r="F56" s="2"/>
      <c r="G56" s="2"/>
      <c r="H56" s="2"/>
      <c r="I56" s="2"/>
      <c r="J56" s="2"/>
      <c r="K56" s="2"/>
      <c r="L56" s="2"/>
      <c r="M56" s="2"/>
      <c r="N56" s="2" t="s">
        <v>361</v>
      </c>
      <c r="O56" s="2" t="s">
        <v>613</v>
      </c>
      <c r="P56" s="2"/>
      <c r="Q56" s="2"/>
      <c r="R56" s="2"/>
      <c r="S56" s="2"/>
      <c r="T56" s="2"/>
      <c r="U56" s="2"/>
      <c r="V56" s="2"/>
      <c r="W56" s="2"/>
      <c r="X56" s="2"/>
      <c r="Y56" s="2"/>
      <c r="Z56" s="2"/>
    </row>
    <row r="57" customFormat="false" ht="15" hidden="false" customHeight="false" outlineLevel="0" collapsed="false">
      <c r="A57" s="2"/>
      <c r="B57" s="2"/>
      <c r="C57" s="2"/>
      <c r="D57" s="2"/>
      <c r="E57" s="2"/>
      <c r="F57" s="2"/>
      <c r="G57" s="2"/>
      <c r="H57" s="2"/>
      <c r="I57" s="2"/>
      <c r="J57" s="2"/>
      <c r="K57" s="2"/>
      <c r="L57" s="2"/>
      <c r="M57" s="2"/>
      <c r="N57" s="2" t="s">
        <v>362</v>
      </c>
      <c r="O57" s="2" t="s">
        <v>614</v>
      </c>
      <c r="P57" s="2"/>
      <c r="Q57" s="2"/>
      <c r="R57" s="2"/>
      <c r="S57" s="2"/>
      <c r="T57" s="2"/>
      <c r="U57" s="2"/>
      <c r="V57" s="2"/>
      <c r="W57" s="2"/>
      <c r="X57" s="2"/>
      <c r="Y57" s="2"/>
      <c r="Z57" s="2"/>
    </row>
    <row r="58" customFormat="false" ht="15" hidden="false" customHeight="false" outlineLevel="0" collapsed="false">
      <c r="A58" s="2"/>
      <c r="B58" s="2"/>
      <c r="C58" s="2"/>
      <c r="D58" s="2"/>
      <c r="E58" s="2"/>
      <c r="F58" s="2"/>
      <c r="G58" s="2"/>
      <c r="H58" s="2"/>
      <c r="I58" s="2"/>
      <c r="J58" s="2"/>
      <c r="K58" s="2"/>
      <c r="L58" s="2"/>
      <c r="M58" s="2"/>
      <c r="N58" s="2" t="s">
        <v>363</v>
      </c>
      <c r="O58" s="2" t="s">
        <v>615</v>
      </c>
      <c r="P58" s="2"/>
      <c r="Q58" s="2"/>
      <c r="R58" s="2"/>
      <c r="S58" s="2"/>
      <c r="T58" s="2"/>
      <c r="U58" s="2"/>
      <c r="V58" s="2"/>
      <c r="W58" s="2"/>
      <c r="X58" s="2"/>
      <c r="Y58" s="2"/>
      <c r="Z58" s="2"/>
    </row>
    <row r="59" customFormat="false" ht="15" hidden="false" customHeight="false" outlineLevel="0" collapsed="false">
      <c r="A59" s="2"/>
      <c r="B59" s="2"/>
      <c r="C59" s="2"/>
      <c r="D59" s="2"/>
      <c r="E59" s="2"/>
      <c r="F59" s="2"/>
      <c r="G59" s="2"/>
      <c r="H59" s="2"/>
      <c r="I59" s="2"/>
      <c r="J59" s="2"/>
      <c r="K59" s="2"/>
      <c r="L59" s="2"/>
      <c r="M59" s="2"/>
      <c r="N59" s="2" t="s">
        <v>364</v>
      </c>
      <c r="O59" s="2" t="s">
        <v>616</v>
      </c>
      <c r="P59" s="2"/>
      <c r="Q59" s="2"/>
      <c r="R59" s="2"/>
      <c r="S59" s="2"/>
      <c r="T59" s="2"/>
      <c r="U59" s="2"/>
      <c r="V59" s="2"/>
      <c r="W59" s="2"/>
      <c r="X59" s="2"/>
      <c r="Y59" s="2"/>
      <c r="Z59" s="2"/>
    </row>
    <row r="60" customFormat="false" ht="15" hidden="false" customHeight="false" outlineLevel="0" collapsed="false">
      <c r="A60" s="2"/>
      <c r="B60" s="2"/>
      <c r="C60" s="2"/>
      <c r="D60" s="2"/>
      <c r="E60" s="2"/>
      <c r="F60" s="2"/>
      <c r="G60" s="2"/>
      <c r="H60" s="2"/>
      <c r="I60" s="2"/>
      <c r="J60" s="2"/>
      <c r="K60" s="2"/>
      <c r="L60" s="2"/>
      <c r="M60" s="2"/>
      <c r="N60" s="2" t="s">
        <v>365</v>
      </c>
      <c r="O60" s="2" t="s">
        <v>617</v>
      </c>
      <c r="P60" s="2"/>
      <c r="Q60" s="2"/>
      <c r="R60" s="2"/>
      <c r="S60" s="2"/>
      <c r="T60" s="2"/>
      <c r="U60" s="2"/>
      <c r="V60" s="2"/>
      <c r="W60" s="2"/>
      <c r="X60" s="2"/>
      <c r="Y60" s="2"/>
      <c r="Z60" s="2"/>
    </row>
    <row r="61" customFormat="false" ht="15" hidden="false" customHeight="false" outlineLevel="0" collapsed="false">
      <c r="A61" s="2"/>
      <c r="B61" s="2"/>
      <c r="C61" s="2"/>
      <c r="D61" s="2"/>
      <c r="E61" s="2"/>
      <c r="F61" s="2"/>
      <c r="G61" s="2"/>
      <c r="H61" s="2"/>
      <c r="I61" s="2"/>
      <c r="J61" s="2"/>
      <c r="K61" s="2"/>
      <c r="L61" s="2"/>
      <c r="M61" s="2"/>
      <c r="N61" s="2" t="s">
        <v>366</v>
      </c>
      <c r="O61" s="2" t="s">
        <v>618</v>
      </c>
      <c r="P61" s="2"/>
      <c r="Q61" s="2"/>
      <c r="R61" s="2"/>
      <c r="S61" s="2"/>
      <c r="T61" s="2"/>
      <c r="U61" s="2"/>
      <c r="V61" s="2"/>
      <c r="W61" s="2"/>
      <c r="X61" s="2"/>
      <c r="Y61" s="2"/>
      <c r="Z61" s="2"/>
    </row>
    <row r="62" customFormat="false" ht="15" hidden="false" customHeight="false" outlineLevel="0" collapsed="false">
      <c r="A62" s="2"/>
      <c r="B62" s="2"/>
      <c r="C62" s="2"/>
      <c r="D62" s="2"/>
      <c r="E62" s="2"/>
      <c r="F62" s="2"/>
      <c r="G62" s="2"/>
      <c r="H62" s="2"/>
      <c r="I62" s="2"/>
      <c r="J62" s="2"/>
      <c r="K62" s="2"/>
      <c r="L62" s="2"/>
      <c r="M62" s="2"/>
      <c r="N62" s="2" t="s">
        <v>367</v>
      </c>
      <c r="O62" s="2" t="s">
        <v>619</v>
      </c>
      <c r="P62" s="2"/>
      <c r="Q62" s="2"/>
      <c r="R62" s="2"/>
      <c r="S62" s="2"/>
      <c r="T62" s="2"/>
      <c r="U62" s="2"/>
      <c r="V62" s="2"/>
      <c r="W62" s="2"/>
      <c r="X62" s="2"/>
      <c r="Y62" s="2"/>
      <c r="Z62" s="2"/>
    </row>
    <row r="63" customFormat="false" ht="15" hidden="false" customHeight="false" outlineLevel="0" collapsed="false">
      <c r="A63" s="2"/>
      <c r="B63" s="2"/>
      <c r="C63" s="2"/>
      <c r="D63" s="2"/>
      <c r="E63" s="2"/>
      <c r="F63" s="2"/>
      <c r="G63" s="2"/>
      <c r="H63" s="2"/>
      <c r="I63" s="2"/>
      <c r="J63" s="2"/>
      <c r="K63" s="2"/>
      <c r="L63" s="2"/>
      <c r="M63" s="2"/>
      <c r="N63" s="2" t="s">
        <v>368</v>
      </c>
      <c r="O63" s="2" t="s">
        <v>620</v>
      </c>
      <c r="P63" s="2"/>
      <c r="Q63" s="2"/>
      <c r="R63" s="2"/>
      <c r="S63" s="2"/>
      <c r="T63" s="2"/>
      <c r="U63" s="2"/>
      <c r="V63" s="2"/>
      <c r="W63" s="2"/>
      <c r="X63" s="2"/>
      <c r="Y63" s="2"/>
      <c r="Z63" s="2"/>
    </row>
    <row r="64" customFormat="false" ht="15" hidden="false" customHeight="false" outlineLevel="0" collapsed="false">
      <c r="A64" s="2"/>
      <c r="B64" s="2"/>
      <c r="C64" s="2"/>
      <c r="D64" s="2"/>
      <c r="E64" s="2"/>
      <c r="F64" s="2"/>
      <c r="G64" s="2"/>
      <c r="H64" s="2"/>
      <c r="I64" s="2"/>
      <c r="J64" s="2"/>
      <c r="K64" s="2"/>
      <c r="L64" s="2"/>
      <c r="M64" s="2"/>
      <c r="N64" s="2" t="s">
        <v>369</v>
      </c>
      <c r="O64" s="2" t="s">
        <v>621</v>
      </c>
      <c r="P64" s="2"/>
      <c r="Q64" s="2"/>
      <c r="R64" s="2"/>
      <c r="S64" s="2"/>
      <c r="T64" s="2"/>
      <c r="U64" s="2"/>
      <c r="V64" s="2"/>
      <c r="W64" s="2"/>
      <c r="X64" s="2"/>
      <c r="Y64" s="2"/>
      <c r="Z64" s="2"/>
    </row>
    <row r="65" customFormat="false" ht="15" hidden="false" customHeight="false" outlineLevel="0" collapsed="false">
      <c r="A65" s="2"/>
      <c r="B65" s="2"/>
      <c r="C65" s="2"/>
      <c r="D65" s="2"/>
      <c r="E65" s="2"/>
      <c r="F65" s="2"/>
      <c r="G65" s="2"/>
      <c r="H65" s="2"/>
      <c r="I65" s="2"/>
      <c r="J65" s="2"/>
      <c r="K65" s="2"/>
      <c r="L65" s="2"/>
      <c r="M65" s="2"/>
      <c r="N65" s="2" t="s">
        <v>370</v>
      </c>
      <c r="O65" s="2" t="s">
        <v>622</v>
      </c>
      <c r="P65" s="2"/>
      <c r="Q65" s="2"/>
      <c r="R65" s="2"/>
      <c r="S65" s="2"/>
      <c r="T65" s="2"/>
      <c r="U65" s="2"/>
      <c r="V65" s="2"/>
      <c r="W65" s="2"/>
      <c r="X65" s="2"/>
      <c r="Y65" s="2"/>
      <c r="Z65" s="2"/>
    </row>
    <row r="66" customFormat="false" ht="15" hidden="false" customHeight="false" outlineLevel="0" collapsed="false">
      <c r="A66" s="2"/>
      <c r="B66" s="2"/>
      <c r="C66" s="2"/>
      <c r="D66" s="2"/>
      <c r="E66" s="2"/>
      <c r="F66" s="2"/>
      <c r="G66" s="2"/>
      <c r="H66" s="2"/>
      <c r="I66" s="2"/>
      <c r="J66" s="2"/>
      <c r="K66" s="2"/>
      <c r="L66" s="2"/>
      <c r="M66" s="2"/>
      <c r="N66" s="2" t="s">
        <v>371</v>
      </c>
      <c r="O66" s="2" t="s">
        <v>623</v>
      </c>
      <c r="P66" s="2"/>
      <c r="Q66" s="2"/>
      <c r="R66" s="2"/>
      <c r="S66" s="2"/>
      <c r="T66" s="2"/>
      <c r="U66" s="2"/>
      <c r="V66" s="2"/>
      <c r="W66" s="2"/>
      <c r="X66" s="2"/>
      <c r="Y66" s="2"/>
      <c r="Z66" s="2"/>
    </row>
    <row r="67" customFormat="false" ht="15" hidden="false" customHeight="false" outlineLevel="0" collapsed="false">
      <c r="A67" s="2"/>
      <c r="B67" s="2"/>
      <c r="C67" s="2"/>
      <c r="D67" s="2"/>
      <c r="E67" s="2"/>
      <c r="F67" s="2"/>
      <c r="G67" s="2"/>
      <c r="H67" s="2"/>
      <c r="I67" s="2"/>
      <c r="J67" s="2"/>
      <c r="K67" s="2"/>
      <c r="L67" s="2"/>
      <c r="M67" s="2"/>
      <c r="N67" s="2" t="s">
        <v>373</v>
      </c>
      <c r="O67" s="2" t="s">
        <v>624</v>
      </c>
      <c r="P67" s="2"/>
      <c r="Q67" s="2"/>
      <c r="R67" s="2"/>
      <c r="S67" s="2"/>
      <c r="T67" s="2"/>
      <c r="U67" s="2"/>
      <c r="V67" s="2"/>
      <c r="W67" s="2"/>
      <c r="X67" s="2"/>
      <c r="Y67" s="2"/>
      <c r="Z67" s="2"/>
    </row>
    <row r="68" customFormat="false" ht="15" hidden="false" customHeight="false" outlineLevel="0" collapsed="false">
      <c r="A68" s="2"/>
      <c r="B68" s="2"/>
      <c r="C68" s="2"/>
      <c r="D68" s="2"/>
      <c r="E68" s="2"/>
      <c r="F68" s="2"/>
      <c r="G68" s="2"/>
      <c r="H68" s="2"/>
      <c r="I68" s="2"/>
      <c r="J68" s="2"/>
      <c r="K68" s="2"/>
      <c r="L68" s="2"/>
      <c r="M68" s="2"/>
      <c r="N68" s="2" t="s">
        <v>374</v>
      </c>
      <c r="O68" s="2" t="s">
        <v>625</v>
      </c>
      <c r="P68" s="2"/>
      <c r="Q68" s="2"/>
      <c r="R68" s="2"/>
      <c r="S68" s="2"/>
      <c r="T68" s="2"/>
      <c r="U68" s="2"/>
      <c r="V68" s="2"/>
      <c r="W68" s="2"/>
      <c r="X68" s="2"/>
      <c r="Y68" s="2"/>
      <c r="Z68" s="2"/>
    </row>
    <row r="69" customFormat="false" ht="15" hidden="false" customHeight="false" outlineLevel="0" collapsed="false">
      <c r="A69" s="2"/>
      <c r="B69" s="2"/>
      <c r="C69" s="2"/>
      <c r="D69" s="2"/>
      <c r="E69" s="2"/>
      <c r="F69" s="2"/>
      <c r="G69" s="2"/>
      <c r="H69" s="2"/>
      <c r="I69" s="2"/>
      <c r="J69" s="2"/>
      <c r="K69" s="2"/>
      <c r="L69" s="2"/>
      <c r="M69" s="2"/>
      <c r="N69" s="2" t="s">
        <v>375</v>
      </c>
      <c r="O69" s="2" t="s">
        <v>626</v>
      </c>
      <c r="P69" s="2"/>
      <c r="Q69" s="2"/>
      <c r="R69" s="2"/>
      <c r="S69" s="2"/>
      <c r="T69" s="2"/>
      <c r="U69" s="2"/>
      <c r="V69" s="2"/>
      <c r="W69" s="2"/>
      <c r="X69" s="2"/>
      <c r="Y69" s="2"/>
      <c r="Z69" s="2"/>
    </row>
    <row r="70" customFormat="false" ht="15" hidden="false" customHeight="false" outlineLevel="0" collapsed="false">
      <c r="A70" s="2"/>
      <c r="B70" s="2"/>
      <c r="C70" s="2"/>
      <c r="D70" s="2"/>
      <c r="E70" s="2"/>
      <c r="F70" s="2"/>
      <c r="G70" s="2"/>
      <c r="H70" s="2"/>
      <c r="I70" s="2"/>
      <c r="J70" s="2"/>
      <c r="K70" s="2"/>
      <c r="L70" s="2"/>
      <c r="M70" s="2"/>
      <c r="N70" s="2" t="s">
        <v>376</v>
      </c>
      <c r="O70" s="2" t="s">
        <v>627</v>
      </c>
      <c r="P70" s="2"/>
      <c r="Q70" s="2"/>
      <c r="R70" s="2"/>
      <c r="S70" s="2"/>
      <c r="T70" s="2"/>
      <c r="U70" s="2"/>
      <c r="V70" s="2"/>
      <c r="W70" s="2"/>
      <c r="X70" s="2"/>
      <c r="Y70" s="2"/>
      <c r="Z70" s="2"/>
    </row>
    <row r="71" customFormat="false" ht="15" hidden="false" customHeight="false" outlineLevel="0" collapsed="false">
      <c r="A71" s="2"/>
      <c r="B71" s="2"/>
      <c r="C71" s="2"/>
      <c r="D71" s="2"/>
      <c r="E71" s="2"/>
      <c r="F71" s="2"/>
      <c r="G71" s="2"/>
      <c r="H71" s="2"/>
      <c r="I71" s="2"/>
      <c r="J71" s="2"/>
      <c r="K71" s="2"/>
      <c r="L71" s="2"/>
      <c r="M71" s="2"/>
      <c r="N71" s="2" t="s">
        <v>377</v>
      </c>
      <c r="O71" s="2" t="s">
        <v>628</v>
      </c>
      <c r="P71" s="2"/>
      <c r="Q71" s="2"/>
      <c r="R71" s="2"/>
      <c r="S71" s="2"/>
      <c r="T71" s="2"/>
      <c r="U71" s="2"/>
      <c r="V71" s="2"/>
      <c r="W71" s="2"/>
      <c r="X71" s="2"/>
      <c r="Y71" s="2"/>
      <c r="Z71" s="2"/>
    </row>
    <row r="72" customFormat="false" ht="15" hidden="false" customHeight="false" outlineLevel="0" collapsed="false">
      <c r="A72" s="2"/>
      <c r="B72" s="2"/>
      <c r="C72" s="2"/>
      <c r="D72" s="2"/>
      <c r="E72" s="2"/>
      <c r="F72" s="2"/>
      <c r="G72" s="2"/>
      <c r="H72" s="2"/>
      <c r="I72" s="2"/>
      <c r="J72" s="2"/>
      <c r="K72" s="2"/>
      <c r="L72" s="2"/>
      <c r="M72" s="2"/>
      <c r="N72" s="2" t="s">
        <v>378</v>
      </c>
      <c r="O72" s="2" t="s">
        <v>629</v>
      </c>
      <c r="P72" s="2"/>
      <c r="Q72" s="2"/>
      <c r="R72" s="2"/>
      <c r="S72" s="2"/>
      <c r="T72" s="2"/>
      <c r="U72" s="2"/>
      <c r="V72" s="2"/>
      <c r="W72" s="2"/>
      <c r="X72" s="2"/>
      <c r="Y72" s="2"/>
      <c r="Z72" s="2"/>
    </row>
    <row r="73" customFormat="false" ht="15" hidden="false" customHeight="false" outlineLevel="0" collapsed="false">
      <c r="A73" s="2"/>
      <c r="B73" s="2"/>
      <c r="C73" s="2"/>
      <c r="D73" s="2"/>
      <c r="E73" s="2"/>
      <c r="F73" s="2"/>
      <c r="G73" s="2"/>
      <c r="H73" s="2"/>
      <c r="I73" s="2"/>
      <c r="J73" s="2"/>
      <c r="K73" s="2"/>
      <c r="L73" s="2"/>
      <c r="M73" s="2"/>
      <c r="N73" s="2" t="s">
        <v>379</v>
      </c>
      <c r="O73" s="2" t="s">
        <v>630</v>
      </c>
      <c r="P73" s="2"/>
      <c r="Q73" s="2"/>
      <c r="R73" s="2"/>
      <c r="S73" s="2"/>
      <c r="T73" s="2"/>
      <c r="U73" s="2"/>
      <c r="V73" s="2"/>
      <c r="W73" s="2"/>
      <c r="X73" s="2"/>
      <c r="Y73" s="2"/>
      <c r="Z73" s="2"/>
    </row>
    <row r="74" customFormat="false" ht="15" hidden="false" customHeight="false" outlineLevel="0" collapsed="false">
      <c r="A74" s="2"/>
      <c r="B74" s="2"/>
      <c r="C74" s="2"/>
      <c r="D74" s="2"/>
      <c r="E74" s="2"/>
      <c r="F74" s="2"/>
      <c r="G74" s="2"/>
      <c r="H74" s="2"/>
      <c r="I74" s="2"/>
      <c r="J74" s="2"/>
      <c r="K74" s="2"/>
      <c r="L74" s="2"/>
      <c r="M74" s="2"/>
      <c r="N74" s="2" t="s">
        <v>380</v>
      </c>
      <c r="O74" s="2" t="s">
        <v>631</v>
      </c>
      <c r="P74" s="2"/>
      <c r="Q74" s="2"/>
      <c r="R74" s="2"/>
      <c r="S74" s="2"/>
      <c r="T74" s="2"/>
      <c r="U74" s="2"/>
      <c r="V74" s="2"/>
      <c r="W74" s="2"/>
      <c r="X74" s="2"/>
      <c r="Y74" s="2"/>
      <c r="Z74" s="2"/>
    </row>
    <row r="75" customFormat="false" ht="15" hidden="false" customHeight="false" outlineLevel="0" collapsed="false">
      <c r="A75" s="2"/>
      <c r="B75" s="2"/>
      <c r="C75" s="2"/>
      <c r="D75" s="2"/>
      <c r="E75" s="2"/>
      <c r="F75" s="2"/>
      <c r="G75" s="2"/>
      <c r="H75" s="2"/>
      <c r="I75" s="2"/>
      <c r="J75" s="2"/>
      <c r="K75" s="2"/>
      <c r="L75" s="2"/>
      <c r="M75" s="2"/>
      <c r="N75" s="2" t="s">
        <v>381</v>
      </c>
      <c r="O75" s="2" t="s">
        <v>632</v>
      </c>
      <c r="P75" s="2"/>
      <c r="Q75" s="2"/>
      <c r="R75" s="2"/>
      <c r="S75" s="2"/>
      <c r="T75" s="2"/>
      <c r="U75" s="2"/>
      <c r="V75" s="2"/>
      <c r="W75" s="2"/>
      <c r="X75" s="2"/>
      <c r="Y75" s="2"/>
      <c r="Z75" s="2"/>
    </row>
    <row r="76" customFormat="false" ht="15" hidden="false" customHeight="false" outlineLevel="0" collapsed="false">
      <c r="A76" s="2"/>
      <c r="B76" s="2"/>
      <c r="C76" s="2"/>
      <c r="D76" s="2"/>
      <c r="E76" s="2"/>
      <c r="F76" s="2"/>
      <c r="G76" s="2"/>
      <c r="H76" s="2"/>
      <c r="I76" s="2"/>
      <c r="J76" s="2"/>
      <c r="K76" s="2"/>
      <c r="L76" s="2"/>
      <c r="M76" s="2"/>
      <c r="N76" s="2" t="s">
        <v>382</v>
      </c>
      <c r="O76" s="2" t="s">
        <v>633</v>
      </c>
      <c r="P76" s="2"/>
      <c r="Q76" s="2"/>
      <c r="R76" s="2"/>
      <c r="S76" s="2"/>
      <c r="T76" s="2"/>
      <c r="U76" s="2"/>
      <c r="V76" s="2"/>
      <c r="W76" s="2"/>
      <c r="X76" s="2"/>
      <c r="Y76" s="2"/>
      <c r="Z76" s="2"/>
    </row>
    <row r="77" customFormat="false" ht="15" hidden="false" customHeight="false" outlineLevel="0" collapsed="false">
      <c r="A77" s="2"/>
      <c r="B77" s="2"/>
      <c r="C77" s="2"/>
      <c r="D77" s="2"/>
      <c r="E77" s="2"/>
      <c r="F77" s="2"/>
      <c r="G77" s="2"/>
      <c r="H77" s="2"/>
      <c r="I77" s="2"/>
      <c r="J77" s="2"/>
      <c r="K77" s="2"/>
      <c r="L77" s="2"/>
      <c r="M77" s="2"/>
      <c r="N77" s="2" t="s">
        <v>383</v>
      </c>
      <c r="O77" s="2" t="s">
        <v>634</v>
      </c>
      <c r="P77" s="2"/>
      <c r="Q77" s="2"/>
      <c r="R77" s="2"/>
      <c r="S77" s="2"/>
      <c r="T77" s="2"/>
      <c r="U77" s="2"/>
      <c r="V77" s="2"/>
      <c r="W77" s="2"/>
      <c r="X77" s="2"/>
      <c r="Y77" s="2"/>
      <c r="Z77" s="2"/>
    </row>
    <row r="78" customFormat="false" ht="15" hidden="false" customHeight="false" outlineLevel="0" collapsed="false">
      <c r="A78" s="2"/>
      <c r="B78" s="2"/>
      <c r="C78" s="2"/>
      <c r="D78" s="2"/>
      <c r="E78" s="2"/>
      <c r="F78" s="2"/>
      <c r="G78" s="2"/>
      <c r="H78" s="2"/>
      <c r="I78" s="2"/>
      <c r="J78" s="2"/>
      <c r="K78" s="2"/>
      <c r="L78" s="2"/>
      <c r="M78" s="2"/>
      <c r="N78" s="2" t="s">
        <v>384</v>
      </c>
      <c r="O78" s="2" t="s">
        <v>635</v>
      </c>
      <c r="P78" s="2"/>
      <c r="Q78" s="2"/>
      <c r="R78" s="2"/>
      <c r="S78" s="2"/>
      <c r="T78" s="2"/>
      <c r="U78" s="2"/>
      <c r="V78" s="2"/>
      <c r="W78" s="2"/>
      <c r="X78" s="2"/>
      <c r="Y78" s="2"/>
      <c r="Z78" s="2"/>
    </row>
    <row r="79" customFormat="false" ht="15" hidden="false" customHeight="false" outlineLevel="0" collapsed="false">
      <c r="A79" s="2"/>
      <c r="B79" s="2"/>
      <c r="C79" s="2"/>
      <c r="D79" s="2"/>
      <c r="E79" s="2"/>
      <c r="F79" s="2"/>
      <c r="G79" s="2"/>
      <c r="H79" s="2"/>
      <c r="I79" s="2"/>
      <c r="J79" s="2"/>
      <c r="K79" s="2"/>
      <c r="L79" s="2"/>
      <c r="M79" s="2"/>
      <c r="N79" s="2" t="s">
        <v>385</v>
      </c>
      <c r="O79" s="2" t="s">
        <v>636</v>
      </c>
      <c r="P79" s="2"/>
      <c r="Q79" s="2"/>
      <c r="R79" s="2"/>
      <c r="S79" s="2"/>
      <c r="T79" s="2"/>
      <c r="U79" s="2"/>
      <c r="V79" s="2"/>
      <c r="W79" s="2"/>
      <c r="X79" s="2"/>
      <c r="Y79" s="2"/>
      <c r="Z79" s="2"/>
    </row>
    <row r="80" customFormat="false" ht="15" hidden="false" customHeight="false" outlineLevel="0" collapsed="false">
      <c r="A80" s="2"/>
      <c r="B80" s="2"/>
      <c r="C80" s="2"/>
      <c r="D80" s="2"/>
      <c r="E80" s="2"/>
      <c r="F80" s="2"/>
      <c r="G80" s="2"/>
      <c r="H80" s="2"/>
      <c r="I80" s="2"/>
      <c r="J80" s="2"/>
      <c r="K80" s="2"/>
      <c r="L80" s="2"/>
      <c r="M80" s="2"/>
      <c r="N80" s="2" t="s">
        <v>386</v>
      </c>
      <c r="O80" s="2" t="s">
        <v>637</v>
      </c>
      <c r="P80" s="2"/>
      <c r="Q80" s="2"/>
      <c r="R80" s="2"/>
      <c r="S80" s="2"/>
      <c r="T80" s="2"/>
      <c r="U80" s="2"/>
      <c r="V80" s="2"/>
      <c r="W80" s="2"/>
      <c r="X80" s="2"/>
      <c r="Y80" s="2"/>
      <c r="Z80" s="2"/>
    </row>
    <row r="81" customFormat="false" ht="15" hidden="false" customHeight="false" outlineLevel="0" collapsed="false">
      <c r="A81" s="2"/>
      <c r="B81" s="2"/>
      <c r="C81" s="2"/>
      <c r="D81" s="2"/>
      <c r="E81" s="2"/>
      <c r="F81" s="2"/>
      <c r="G81" s="2"/>
      <c r="H81" s="2"/>
      <c r="I81" s="2"/>
      <c r="J81" s="2"/>
      <c r="K81" s="2"/>
      <c r="L81" s="2"/>
      <c r="M81" s="2"/>
      <c r="N81" s="2" t="s">
        <v>388</v>
      </c>
      <c r="O81" s="2" t="s">
        <v>638</v>
      </c>
      <c r="P81" s="2"/>
      <c r="Q81" s="2"/>
      <c r="R81" s="2"/>
      <c r="S81" s="2"/>
      <c r="T81" s="2"/>
      <c r="U81" s="2"/>
      <c r="V81" s="2"/>
      <c r="W81" s="2"/>
      <c r="X81" s="2"/>
      <c r="Y81" s="2"/>
      <c r="Z81" s="2"/>
    </row>
    <row r="82" customFormat="false" ht="15" hidden="false" customHeight="false" outlineLevel="0" collapsed="false">
      <c r="A82" s="2"/>
      <c r="B82" s="2"/>
      <c r="C82" s="2"/>
      <c r="D82" s="2"/>
      <c r="E82" s="2"/>
      <c r="F82" s="2"/>
      <c r="G82" s="2"/>
      <c r="H82" s="2"/>
      <c r="I82" s="2"/>
      <c r="J82" s="2"/>
      <c r="K82" s="2"/>
      <c r="L82" s="2"/>
      <c r="M82" s="2"/>
      <c r="N82" s="2" t="s">
        <v>389</v>
      </c>
      <c r="O82" s="2" t="s">
        <v>639</v>
      </c>
      <c r="P82" s="2"/>
      <c r="Q82" s="2"/>
      <c r="R82" s="2"/>
      <c r="S82" s="2"/>
      <c r="T82" s="2"/>
      <c r="U82" s="2"/>
      <c r="V82" s="2"/>
      <c r="W82" s="2"/>
      <c r="X82" s="2"/>
      <c r="Y82" s="2"/>
      <c r="Z82" s="2"/>
    </row>
    <row r="83" customFormat="false" ht="15" hidden="false" customHeight="false" outlineLevel="0" collapsed="false">
      <c r="A83" s="2"/>
      <c r="B83" s="2"/>
      <c r="C83" s="2"/>
      <c r="D83" s="2"/>
      <c r="E83" s="2"/>
      <c r="F83" s="2"/>
      <c r="G83" s="2"/>
      <c r="H83" s="2"/>
      <c r="I83" s="2"/>
      <c r="J83" s="2"/>
      <c r="K83" s="2"/>
      <c r="L83" s="2"/>
      <c r="M83" s="2"/>
      <c r="N83" s="2" t="s">
        <v>390</v>
      </c>
      <c r="O83" s="2" t="s">
        <v>640</v>
      </c>
      <c r="P83" s="2"/>
      <c r="Q83" s="2"/>
      <c r="R83" s="2"/>
      <c r="S83" s="2"/>
      <c r="T83" s="2"/>
      <c r="U83" s="2"/>
      <c r="V83" s="2"/>
      <c r="W83" s="2"/>
      <c r="X83" s="2"/>
      <c r="Y83" s="2"/>
      <c r="Z83" s="2"/>
    </row>
    <row r="84" customFormat="false" ht="15" hidden="false" customHeight="false" outlineLevel="0" collapsed="false">
      <c r="A84" s="2"/>
      <c r="B84" s="2"/>
      <c r="C84" s="2"/>
      <c r="D84" s="2"/>
      <c r="E84" s="2"/>
      <c r="F84" s="2"/>
      <c r="G84" s="2"/>
      <c r="H84" s="2"/>
      <c r="I84" s="2"/>
      <c r="J84" s="2"/>
      <c r="K84" s="2"/>
      <c r="L84" s="2"/>
      <c r="M84" s="2"/>
      <c r="N84" s="2" t="s">
        <v>391</v>
      </c>
      <c r="O84" s="2" t="s">
        <v>641</v>
      </c>
      <c r="P84" s="2"/>
      <c r="Q84" s="2"/>
      <c r="R84" s="2"/>
      <c r="S84" s="2"/>
      <c r="T84" s="2"/>
      <c r="U84" s="2"/>
      <c r="V84" s="2"/>
      <c r="W84" s="2"/>
      <c r="X84" s="2"/>
      <c r="Y84" s="2"/>
      <c r="Z84" s="2"/>
    </row>
    <row r="85" customFormat="false" ht="15" hidden="false" customHeight="false" outlineLevel="0" collapsed="false">
      <c r="A85" s="2"/>
      <c r="B85" s="2"/>
      <c r="C85" s="2"/>
      <c r="D85" s="2"/>
      <c r="E85" s="2"/>
      <c r="F85" s="2"/>
      <c r="G85" s="2"/>
      <c r="H85" s="2"/>
      <c r="I85" s="2"/>
      <c r="J85" s="2"/>
      <c r="K85" s="2"/>
      <c r="L85" s="2"/>
      <c r="M85" s="2"/>
      <c r="N85" s="2" t="s">
        <v>392</v>
      </c>
      <c r="O85" s="2" t="s">
        <v>642</v>
      </c>
      <c r="P85" s="2"/>
      <c r="Q85" s="2"/>
      <c r="R85" s="2"/>
      <c r="S85" s="2"/>
      <c r="T85" s="2"/>
      <c r="U85" s="2"/>
      <c r="V85" s="2"/>
      <c r="W85" s="2"/>
      <c r="X85" s="2"/>
      <c r="Y85" s="2"/>
      <c r="Z85" s="2"/>
    </row>
    <row r="86" customFormat="false" ht="15" hidden="false" customHeight="false" outlineLevel="0" collapsed="false">
      <c r="A86" s="2"/>
      <c r="B86" s="2"/>
      <c r="C86" s="2"/>
      <c r="D86" s="2"/>
      <c r="E86" s="2"/>
      <c r="F86" s="2"/>
      <c r="G86" s="2"/>
      <c r="H86" s="2"/>
      <c r="I86" s="2"/>
      <c r="J86" s="2"/>
      <c r="K86" s="2"/>
      <c r="L86" s="2"/>
      <c r="M86" s="2"/>
      <c r="N86" s="2" t="s">
        <v>393</v>
      </c>
      <c r="O86" s="2" t="s">
        <v>643</v>
      </c>
      <c r="P86" s="2"/>
      <c r="Q86" s="2"/>
      <c r="R86" s="2"/>
      <c r="S86" s="2"/>
      <c r="T86" s="2"/>
      <c r="U86" s="2"/>
      <c r="V86" s="2"/>
      <c r="W86" s="2"/>
      <c r="X86" s="2"/>
      <c r="Y86" s="2"/>
      <c r="Z86" s="2"/>
    </row>
    <row r="87" customFormat="false" ht="15" hidden="false" customHeight="false" outlineLevel="0" collapsed="false">
      <c r="A87" s="2"/>
      <c r="B87" s="2"/>
      <c r="C87" s="2"/>
      <c r="D87" s="2"/>
      <c r="E87" s="2"/>
      <c r="F87" s="2"/>
      <c r="G87" s="2"/>
      <c r="H87" s="2"/>
      <c r="I87" s="2"/>
      <c r="J87" s="2"/>
      <c r="K87" s="2"/>
      <c r="L87" s="2"/>
      <c r="M87" s="2"/>
      <c r="N87" s="2" t="s">
        <v>394</v>
      </c>
      <c r="O87" s="2" t="s">
        <v>644</v>
      </c>
      <c r="P87" s="2"/>
      <c r="Q87" s="2"/>
      <c r="R87" s="2"/>
      <c r="S87" s="2"/>
      <c r="T87" s="2"/>
      <c r="U87" s="2"/>
      <c r="V87" s="2"/>
      <c r="W87" s="2"/>
      <c r="X87" s="2"/>
      <c r="Y87" s="2"/>
      <c r="Z87" s="2"/>
    </row>
    <row r="88" customFormat="false" ht="15" hidden="false" customHeight="false" outlineLevel="0" collapsed="false">
      <c r="A88" s="2"/>
      <c r="B88" s="2"/>
      <c r="C88" s="2"/>
      <c r="D88" s="2"/>
      <c r="E88" s="2"/>
      <c r="F88" s="2"/>
      <c r="G88" s="2"/>
      <c r="H88" s="2"/>
      <c r="I88" s="2"/>
      <c r="J88" s="2"/>
      <c r="K88" s="2"/>
      <c r="L88" s="2"/>
      <c r="M88" s="2"/>
      <c r="N88" s="2" t="s">
        <v>395</v>
      </c>
      <c r="O88" s="2" t="s">
        <v>645</v>
      </c>
      <c r="P88" s="2"/>
      <c r="Q88" s="2"/>
      <c r="R88" s="2"/>
      <c r="S88" s="2"/>
      <c r="T88" s="2"/>
      <c r="U88" s="2"/>
      <c r="V88" s="2"/>
      <c r="W88" s="2"/>
      <c r="X88" s="2"/>
      <c r="Y88" s="2"/>
      <c r="Z88" s="2"/>
    </row>
    <row r="89" customFormat="false" ht="15" hidden="false" customHeight="false" outlineLevel="0" collapsed="false">
      <c r="A89" s="2"/>
      <c r="B89" s="2"/>
      <c r="C89" s="2"/>
      <c r="D89" s="2"/>
      <c r="E89" s="2"/>
      <c r="F89" s="2"/>
      <c r="G89" s="2"/>
      <c r="H89" s="2"/>
      <c r="I89" s="2"/>
      <c r="J89" s="2"/>
      <c r="K89" s="2"/>
      <c r="L89" s="2"/>
      <c r="M89" s="2"/>
      <c r="N89" s="2" t="s">
        <v>396</v>
      </c>
      <c r="O89" s="2" t="s">
        <v>646</v>
      </c>
      <c r="P89" s="2"/>
      <c r="Q89" s="2"/>
      <c r="R89" s="2"/>
      <c r="S89" s="2"/>
      <c r="T89" s="2"/>
      <c r="U89" s="2"/>
      <c r="V89" s="2"/>
      <c r="W89" s="2"/>
      <c r="X89" s="2"/>
      <c r="Y89" s="2"/>
      <c r="Z89" s="2"/>
    </row>
    <row r="90" customFormat="false" ht="15" hidden="false" customHeight="false" outlineLevel="0" collapsed="false">
      <c r="A90" s="2"/>
      <c r="B90" s="2"/>
      <c r="C90" s="2"/>
      <c r="D90" s="2"/>
      <c r="E90" s="2"/>
      <c r="F90" s="2"/>
      <c r="G90" s="2"/>
      <c r="H90" s="2"/>
      <c r="I90" s="2"/>
      <c r="J90" s="2"/>
      <c r="K90" s="2"/>
      <c r="L90" s="2"/>
      <c r="M90" s="2"/>
      <c r="N90" s="2" t="s">
        <v>398</v>
      </c>
      <c r="O90" s="2" t="s">
        <v>647</v>
      </c>
      <c r="P90" s="2"/>
      <c r="Q90" s="2"/>
      <c r="R90" s="2"/>
      <c r="S90" s="2"/>
      <c r="T90" s="2"/>
      <c r="U90" s="2"/>
      <c r="V90" s="2"/>
      <c r="W90" s="2"/>
      <c r="X90" s="2"/>
      <c r="Y90" s="2"/>
      <c r="Z90" s="2"/>
    </row>
    <row r="91" customFormat="false" ht="15" hidden="false" customHeight="false" outlineLevel="0" collapsed="false">
      <c r="A91" s="2"/>
      <c r="B91" s="2"/>
      <c r="C91" s="2"/>
      <c r="D91" s="2"/>
      <c r="E91" s="2"/>
      <c r="F91" s="2"/>
      <c r="G91" s="2"/>
      <c r="H91" s="2"/>
      <c r="I91" s="2"/>
      <c r="J91" s="2"/>
      <c r="K91" s="2"/>
      <c r="L91" s="2"/>
      <c r="M91" s="2"/>
      <c r="N91" s="2" t="s">
        <v>399</v>
      </c>
      <c r="O91" s="2" t="s">
        <v>648</v>
      </c>
      <c r="P91" s="2"/>
      <c r="Q91" s="2"/>
      <c r="R91" s="2"/>
      <c r="S91" s="2"/>
      <c r="T91" s="2"/>
      <c r="U91" s="2"/>
      <c r="V91" s="2"/>
      <c r="W91" s="2"/>
      <c r="X91" s="2"/>
      <c r="Y91" s="2"/>
      <c r="Z91" s="2"/>
    </row>
    <row r="92" customFormat="false" ht="15" hidden="false" customHeight="false" outlineLevel="0" collapsed="false">
      <c r="A92" s="2"/>
      <c r="B92" s="2"/>
      <c r="C92" s="2"/>
      <c r="D92" s="2"/>
      <c r="E92" s="2"/>
      <c r="F92" s="2"/>
      <c r="G92" s="2"/>
      <c r="H92" s="2"/>
      <c r="I92" s="2"/>
      <c r="J92" s="2"/>
      <c r="K92" s="2"/>
      <c r="L92" s="2"/>
      <c r="M92" s="2"/>
      <c r="N92" s="2"/>
      <c r="O92" s="2" t="s">
        <v>649</v>
      </c>
      <c r="P92" s="2"/>
      <c r="Q92" s="2"/>
      <c r="R92" s="2"/>
      <c r="S92" s="2"/>
      <c r="T92" s="2"/>
      <c r="U92" s="2"/>
      <c r="V92" s="2"/>
      <c r="W92" s="2"/>
      <c r="X92" s="2"/>
      <c r="Y92" s="2"/>
      <c r="Z92" s="2"/>
    </row>
    <row r="93" customFormat="false" ht="15" hidden="false" customHeight="false" outlineLevel="0" collapsed="false">
      <c r="A93" s="2"/>
      <c r="B93" s="2"/>
      <c r="C93" s="2"/>
      <c r="D93" s="2"/>
      <c r="E93" s="2"/>
      <c r="F93" s="2"/>
      <c r="G93" s="2"/>
      <c r="H93" s="2"/>
      <c r="I93" s="2"/>
      <c r="J93" s="2"/>
      <c r="K93" s="2"/>
      <c r="L93" s="2"/>
      <c r="M93" s="2"/>
      <c r="N93" s="2"/>
      <c r="O93" s="2" t="s">
        <v>650</v>
      </c>
      <c r="P93" s="2"/>
      <c r="Q93" s="2"/>
      <c r="R93" s="2"/>
      <c r="S93" s="2"/>
      <c r="T93" s="2"/>
      <c r="U93" s="2"/>
      <c r="V93" s="2"/>
      <c r="W93" s="2"/>
      <c r="X93" s="2"/>
      <c r="Y93" s="2"/>
      <c r="Z93" s="2"/>
    </row>
    <row r="94" customFormat="false" ht="15" hidden="false" customHeight="false" outlineLevel="0" collapsed="false">
      <c r="A94" s="2"/>
      <c r="B94" s="2"/>
      <c r="C94" s="2"/>
      <c r="D94" s="2"/>
      <c r="E94" s="2"/>
      <c r="F94" s="2"/>
      <c r="G94" s="2"/>
      <c r="H94" s="2"/>
      <c r="I94" s="2"/>
      <c r="J94" s="2"/>
      <c r="K94" s="2"/>
      <c r="L94" s="2"/>
      <c r="M94" s="2"/>
      <c r="N94" s="2"/>
      <c r="O94" s="2" t="s">
        <v>651</v>
      </c>
      <c r="P94" s="2"/>
      <c r="Q94" s="2"/>
      <c r="R94" s="2"/>
      <c r="S94" s="2"/>
      <c r="T94" s="2"/>
      <c r="U94" s="2"/>
      <c r="V94" s="2"/>
      <c r="W94" s="2"/>
      <c r="X94" s="2"/>
      <c r="Y94" s="2"/>
      <c r="Z94" s="2"/>
    </row>
    <row r="95" customFormat="false" ht="15" hidden="false" customHeight="false" outlineLevel="0" collapsed="false">
      <c r="A95" s="2"/>
      <c r="B95" s="2"/>
      <c r="C95" s="2"/>
      <c r="D95" s="2"/>
      <c r="E95" s="2"/>
      <c r="F95" s="2"/>
      <c r="G95" s="2"/>
      <c r="H95" s="2"/>
      <c r="I95" s="2"/>
      <c r="J95" s="2"/>
      <c r="K95" s="2"/>
      <c r="L95" s="2"/>
      <c r="M95" s="2"/>
      <c r="N95" s="2"/>
      <c r="O95" s="2" t="s">
        <v>652</v>
      </c>
      <c r="P95" s="2"/>
      <c r="Q95" s="2"/>
      <c r="R95" s="2"/>
      <c r="S95" s="2"/>
      <c r="T95" s="2"/>
      <c r="U95" s="2"/>
      <c r="V95" s="2"/>
      <c r="W95" s="2"/>
      <c r="X95" s="2"/>
      <c r="Y95" s="2"/>
      <c r="Z95" s="2"/>
    </row>
    <row r="96" customFormat="false" ht="15" hidden="false" customHeight="false" outlineLevel="0" collapsed="false">
      <c r="A96" s="2"/>
      <c r="B96" s="2"/>
      <c r="C96" s="2"/>
      <c r="D96" s="2"/>
      <c r="E96" s="2"/>
      <c r="F96" s="2"/>
      <c r="G96" s="2"/>
      <c r="H96" s="2"/>
      <c r="I96" s="2"/>
      <c r="J96" s="2"/>
      <c r="K96" s="2"/>
      <c r="L96" s="2"/>
      <c r="M96" s="2"/>
      <c r="N96" s="2"/>
      <c r="O96" s="2" t="s">
        <v>653</v>
      </c>
      <c r="P96" s="2"/>
      <c r="Q96" s="2"/>
      <c r="R96" s="2"/>
      <c r="S96" s="2"/>
      <c r="T96" s="2"/>
      <c r="U96" s="2"/>
      <c r="V96" s="2"/>
      <c r="W96" s="2"/>
      <c r="X96" s="2"/>
      <c r="Y96" s="2"/>
      <c r="Z96" s="2"/>
    </row>
    <row r="97" customFormat="false" ht="15" hidden="false" customHeight="false" outlineLevel="0" collapsed="false">
      <c r="A97" s="2"/>
      <c r="B97" s="2"/>
      <c r="C97" s="2"/>
      <c r="D97" s="2"/>
      <c r="E97" s="2"/>
      <c r="F97" s="2"/>
      <c r="G97" s="2"/>
      <c r="H97" s="2"/>
      <c r="I97" s="2"/>
      <c r="J97" s="2"/>
      <c r="K97" s="2"/>
      <c r="L97" s="2"/>
      <c r="M97" s="2"/>
      <c r="N97" s="2"/>
      <c r="O97" s="2" t="s">
        <v>654</v>
      </c>
      <c r="P97" s="2"/>
      <c r="Q97" s="2"/>
      <c r="R97" s="2"/>
      <c r="S97" s="2"/>
      <c r="T97" s="2"/>
      <c r="U97" s="2"/>
      <c r="V97" s="2"/>
      <c r="W97" s="2"/>
      <c r="X97" s="2"/>
      <c r="Y97" s="2"/>
      <c r="Z97" s="2"/>
    </row>
    <row r="98" customFormat="false" ht="15" hidden="false" customHeight="false" outlineLevel="0" collapsed="false">
      <c r="A98" s="2"/>
      <c r="B98" s="2"/>
      <c r="C98" s="2"/>
      <c r="D98" s="2"/>
      <c r="E98" s="2"/>
      <c r="F98" s="2"/>
      <c r="G98" s="2"/>
      <c r="H98" s="2"/>
      <c r="I98" s="2"/>
      <c r="J98" s="2"/>
      <c r="K98" s="2"/>
      <c r="L98" s="2"/>
      <c r="M98" s="2"/>
      <c r="N98" s="2"/>
      <c r="O98" s="2" t="s">
        <v>655</v>
      </c>
      <c r="P98" s="2"/>
      <c r="Q98" s="2"/>
      <c r="R98" s="2"/>
      <c r="S98" s="2"/>
      <c r="T98" s="2"/>
      <c r="U98" s="2"/>
      <c r="V98" s="2"/>
      <c r="W98" s="2"/>
      <c r="X98" s="2"/>
      <c r="Y98" s="2"/>
      <c r="Z98" s="2"/>
    </row>
    <row r="99" customFormat="false" ht="15" hidden="false" customHeight="false" outlineLevel="0" collapsed="false">
      <c r="A99" s="2"/>
      <c r="B99" s="2"/>
      <c r="C99" s="2"/>
      <c r="D99" s="2"/>
      <c r="E99" s="2"/>
      <c r="F99" s="2"/>
      <c r="G99" s="2"/>
      <c r="H99" s="2"/>
      <c r="I99" s="2"/>
      <c r="J99" s="2"/>
      <c r="K99" s="2"/>
      <c r="L99" s="2"/>
      <c r="M99" s="2"/>
      <c r="N99" s="2"/>
      <c r="O99" s="2" t="s">
        <v>656</v>
      </c>
      <c r="P99" s="2"/>
      <c r="Q99" s="2"/>
      <c r="R99" s="2"/>
      <c r="S99" s="2"/>
      <c r="T99" s="2"/>
      <c r="U99" s="2"/>
      <c r="V99" s="2"/>
      <c r="W99" s="2"/>
      <c r="X99" s="2"/>
      <c r="Y99" s="2"/>
      <c r="Z99" s="2"/>
    </row>
    <row r="100" customFormat="false" ht="15" hidden="false" customHeight="false" outlineLevel="0" collapsed="false">
      <c r="A100" s="2"/>
      <c r="B100" s="2"/>
      <c r="C100" s="2"/>
      <c r="D100" s="2"/>
      <c r="E100" s="2"/>
      <c r="F100" s="2"/>
      <c r="G100" s="2"/>
      <c r="H100" s="2"/>
      <c r="I100" s="2"/>
      <c r="J100" s="2"/>
      <c r="K100" s="2"/>
      <c r="L100" s="2"/>
      <c r="M100" s="2"/>
      <c r="N100" s="2"/>
      <c r="O100" s="2" t="s">
        <v>657</v>
      </c>
      <c r="P100" s="2"/>
      <c r="Q100" s="2"/>
      <c r="R100" s="2"/>
      <c r="S100" s="2"/>
      <c r="T100" s="2"/>
      <c r="U100" s="2"/>
      <c r="V100" s="2"/>
      <c r="W100" s="2"/>
      <c r="X100" s="2"/>
      <c r="Y100" s="2"/>
      <c r="Z100" s="2"/>
    </row>
    <row r="101" customFormat="false" ht="15" hidden="false" customHeight="false" outlineLevel="0" collapsed="false">
      <c r="A101" s="2"/>
      <c r="B101" s="2"/>
      <c r="C101" s="2"/>
      <c r="D101" s="2"/>
      <c r="E101" s="2"/>
      <c r="F101" s="2"/>
      <c r="G101" s="2"/>
      <c r="H101" s="2"/>
      <c r="I101" s="2"/>
      <c r="J101" s="2"/>
      <c r="K101" s="2"/>
      <c r="L101" s="2"/>
      <c r="M101" s="2"/>
      <c r="N101" s="2"/>
      <c r="O101" s="2" t="s">
        <v>658</v>
      </c>
      <c r="P101" s="2"/>
      <c r="Q101" s="2"/>
      <c r="R101" s="2"/>
      <c r="S101" s="2"/>
      <c r="T101" s="2"/>
      <c r="U101" s="2"/>
      <c r="V101" s="2"/>
      <c r="W101" s="2"/>
      <c r="X101" s="2"/>
      <c r="Y101" s="2"/>
      <c r="Z101" s="2"/>
    </row>
    <row r="102" customFormat="false" ht="15" hidden="false" customHeight="false" outlineLevel="0" collapsed="false">
      <c r="A102" s="2"/>
      <c r="B102" s="2"/>
      <c r="C102" s="2"/>
      <c r="D102" s="2"/>
      <c r="E102" s="2"/>
      <c r="F102" s="2"/>
      <c r="G102" s="2"/>
      <c r="H102" s="2"/>
      <c r="I102" s="2"/>
      <c r="J102" s="2"/>
      <c r="K102" s="2"/>
      <c r="L102" s="2"/>
      <c r="M102" s="2"/>
      <c r="N102" s="2"/>
      <c r="O102" s="2" t="s">
        <v>659</v>
      </c>
      <c r="P102" s="2"/>
      <c r="Q102" s="2"/>
      <c r="R102" s="2"/>
      <c r="S102" s="2"/>
      <c r="T102" s="2"/>
      <c r="U102" s="2"/>
      <c r="V102" s="2"/>
      <c r="W102" s="2"/>
      <c r="X102" s="2"/>
      <c r="Y102" s="2"/>
      <c r="Z102" s="2"/>
    </row>
    <row r="103" customFormat="false" ht="15" hidden="false" customHeight="false" outlineLevel="0" collapsed="false">
      <c r="A103" s="2"/>
      <c r="B103" s="2"/>
      <c r="C103" s="2"/>
      <c r="D103" s="2"/>
      <c r="E103" s="2"/>
      <c r="F103" s="2"/>
      <c r="G103" s="2"/>
      <c r="H103" s="2"/>
      <c r="I103" s="2"/>
      <c r="J103" s="2"/>
      <c r="K103" s="2"/>
      <c r="L103" s="2"/>
      <c r="M103" s="2"/>
      <c r="N103" s="2"/>
      <c r="O103" s="2" t="s">
        <v>660</v>
      </c>
      <c r="P103" s="2"/>
      <c r="Q103" s="2"/>
      <c r="R103" s="2"/>
      <c r="S103" s="2"/>
      <c r="T103" s="2"/>
      <c r="U103" s="2"/>
      <c r="V103" s="2"/>
      <c r="W103" s="2"/>
      <c r="X103" s="2"/>
      <c r="Y103" s="2"/>
      <c r="Z103" s="2"/>
    </row>
    <row r="104" customFormat="false" ht="15" hidden="false" customHeight="false" outlineLevel="0" collapsed="false">
      <c r="A104" s="2"/>
      <c r="B104" s="2"/>
      <c r="C104" s="2"/>
      <c r="D104" s="2"/>
      <c r="E104" s="2"/>
      <c r="F104" s="2"/>
      <c r="G104" s="2"/>
      <c r="H104" s="2"/>
      <c r="I104" s="2"/>
      <c r="J104" s="2"/>
      <c r="K104" s="2"/>
      <c r="L104" s="2"/>
      <c r="M104" s="2"/>
      <c r="N104" s="2"/>
      <c r="O104" s="2" t="s">
        <v>661</v>
      </c>
      <c r="P104" s="2"/>
      <c r="Q104" s="2"/>
      <c r="R104" s="2"/>
      <c r="S104" s="2"/>
      <c r="T104" s="2"/>
      <c r="U104" s="2"/>
      <c r="V104" s="2"/>
      <c r="W104" s="2"/>
      <c r="X104" s="2"/>
      <c r="Y104" s="2"/>
      <c r="Z104" s="2"/>
    </row>
    <row r="105" customFormat="false" ht="15" hidden="false" customHeight="false" outlineLevel="0" collapsed="false">
      <c r="A105" s="2"/>
      <c r="B105" s="2"/>
      <c r="C105" s="2"/>
      <c r="D105" s="2"/>
      <c r="E105" s="2"/>
      <c r="F105" s="2"/>
      <c r="G105" s="2"/>
      <c r="H105" s="2"/>
      <c r="I105" s="2"/>
      <c r="J105" s="2"/>
      <c r="K105" s="2"/>
      <c r="L105" s="2"/>
      <c r="M105" s="2"/>
      <c r="N105" s="2"/>
      <c r="O105" s="2" t="s">
        <v>662</v>
      </c>
      <c r="P105" s="2"/>
      <c r="Q105" s="2"/>
      <c r="R105" s="2"/>
      <c r="S105" s="2"/>
      <c r="T105" s="2"/>
      <c r="U105" s="2"/>
      <c r="V105" s="2"/>
      <c r="W105" s="2"/>
      <c r="X105" s="2"/>
      <c r="Y105" s="2"/>
      <c r="Z105" s="2"/>
    </row>
    <row r="106" customFormat="false" ht="15" hidden="false" customHeight="false" outlineLevel="0" collapsed="false">
      <c r="A106" s="2"/>
      <c r="B106" s="2"/>
      <c r="C106" s="2"/>
      <c r="D106" s="2"/>
      <c r="E106" s="2"/>
      <c r="F106" s="2"/>
      <c r="G106" s="2"/>
      <c r="H106" s="2"/>
      <c r="I106" s="2"/>
      <c r="J106" s="2"/>
      <c r="K106" s="2"/>
      <c r="L106" s="2"/>
      <c r="M106" s="2"/>
      <c r="N106" s="2"/>
      <c r="O106" s="2" t="s">
        <v>663</v>
      </c>
      <c r="P106" s="2"/>
      <c r="Q106" s="2"/>
      <c r="R106" s="2"/>
      <c r="S106" s="2"/>
      <c r="T106" s="2"/>
      <c r="U106" s="2"/>
      <c r="V106" s="2"/>
      <c r="W106" s="2"/>
      <c r="X106" s="2"/>
      <c r="Y106" s="2"/>
      <c r="Z106" s="2"/>
    </row>
    <row r="107" customFormat="false" ht="15" hidden="false" customHeight="false" outlineLevel="0" collapsed="false">
      <c r="A107" s="2"/>
      <c r="B107" s="2"/>
      <c r="C107" s="2"/>
      <c r="D107" s="2"/>
      <c r="E107" s="2"/>
      <c r="F107" s="2"/>
      <c r="G107" s="2"/>
      <c r="H107" s="2"/>
      <c r="I107" s="2"/>
      <c r="J107" s="2"/>
      <c r="K107" s="2"/>
      <c r="L107" s="2"/>
      <c r="M107" s="2"/>
      <c r="N107" s="2"/>
      <c r="O107" s="2" t="s">
        <v>664</v>
      </c>
      <c r="P107" s="2"/>
      <c r="Q107" s="2"/>
      <c r="R107" s="2"/>
      <c r="S107" s="2"/>
      <c r="T107" s="2"/>
      <c r="U107" s="2"/>
      <c r="V107" s="2"/>
      <c r="W107" s="2"/>
      <c r="X107" s="2"/>
      <c r="Y107" s="2"/>
      <c r="Z107" s="2"/>
    </row>
    <row r="108" customFormat="false" ht="15" hidden="false" customHeight="false" outlineLevel="0" collapsed="false">
      <c r="A108" s="2"/>
      <c r="B108" s="2"/>
      <c r="C108" s="2"/>
      <c r="D108" s="2"/>
      <c r="E108" s="2"/>
      <c r="F108" s="2"/>
      <c r="G108" s="2"/>
      <c r="H108" s="2"/>
      <c r="I108" s="2"/>
      <c r="J108" s="2"/>
      <c r="K108" s="2"/>
      <c r="L108" s="2"/>
      <c r="M108" s="2"/>
      <c r="N108" s="2"/>
      <c r="O108" s="2" t="s">
        <v>665</v>
      </c>
      <c r="P108" s="2"/>
      <c r="Q108" s="2"/>
      <c r="R108" s="2"/>
      <c r="S108" s="2"/>
      <c r="T108" s="2"/>
      <c r="U108" s="2"/>
      <c r="V108" s="2"/>
      <c r="W108" s="2"/>
      <c r="X108" s="2"/>
      <c r="Y108" s="2"/>
      <c r="Z108" s="2"/>
    </row>
    <row r="109" customFormat="false" ht="15" hidden="false" customHeight="false" outlineLevel="0" collapsed="false">
      <c r="A109" s="2"/>
      <c r="B109" s="2"/>
      <c r="C109" s="2"/>
      <c r="D109" s="2"/>
      <c r="E109" s="2"/>
      <c r="F109" s="2"/>
      <c r="G109" s="2"/>
      <c r="H109" s="2"/>
      <c r="I109" s="2"/>
      <c r="J109" s="2"/>
      <c r="K109" s="2"/>
      <c r="L109" s="2"/>
      <c r="M109" s="2"/>
      <c r="N109" s="2"/>
      <c r="O109" s="2" t="s">
        <v>666</v>
      </c>
      <c r="P109" s="2"/>
      <c r="Q109" s="2"/>
      <c r="R109" s="2"/>
      <c r="S109" s="2"/>
      <c r="T109" s="2"/>
      <c r="U109" s="2"/>
      <c r="V109" s="2"/>
      <c r="W109" s="2"/>
      <c r="X109" s="2"/>
      <c r="Y109" s="2"/>
      <c r="Z109" s="2"/>
    </row>
    <row r="110" customFormat="false" ht="15" hidden="false" customHeight="false" outlineLevel="0" collapsed="false">
      <c r="A110" s="2"/>
      <c r="B110" s="2"/>
      <c r="C110" s="2"/>
      <c r="D110" s="2"/>
      <c r="E110" s="2"/>
      <c r="F110" s="2"/>
      <c r="G110" s="2"/>
      <c r="H110" s="2"/>
      <c r="I110" s="2"/>
      <c r="J110" s="2"/>
      <c r="K110" s="2"/>
      <c r="L110" s="2"/>
      <c r="M110" s="2"/>
      <c r="N110" s="2"/>
      <c r="O110" s="2" t="s">
        <v>667</v>
      </c>
      <c r="P110" s="2"/>
      <c r="Q110" s="2"/>
      <c r="R110" s="2"/>
      <c r="S110" s="2"/>
      <c r="T110" s="2"/>
      <c r="U110" s="2"/>
      <c r="V110" s="2"/>
      <c r="W110" s="2"/>
      <c r="X110" s="2"/>
      <c r="Y110" s="2"/>
      <c r="Z110" s="2"/>
    </row>
    <row r="111" customFormat="false" ht="15" hidden="false" customHeight="false" outlineLevel="0" collapsed="false">
      <c r="A111" s="2"/>
      <c r="B111" s="2"/>
      <c r="C111" s="2"/>
      <c r="D111" s="2"/>
      <c r="E111" s="2"/>
      <c r="F111" s="2"/>
      <c r="G111" s="2"/>
      <c r="H111" s="2"/>
      <c r="I111" s="2"/>
      <c r="J111" s="2"/>
      <c r="K111" s="2"/>
      <c r="L111" s="2"/>
      <c r="M111" s="2"/>
      <c r="N111" s="2"/>
      <c r="O111" s="2" t="s">
        <v>668</v>
      </c>
      <c r="P111" s="2"/>
      <c r="Q111" s="2"/>
      <c r="R111" s="2"/>
      <c r="S111" s="2"/>
      <c r="T111" s="2"/>
      <c r="U111" s="2"/>
      <c r="V111" s="2"/>
      <c r="W111" s="2"/>
      <c r="X111" s="2"/>
      <c r="Y111" s="2"/>
      <c r="Z111" s="2"/>
    </row>
    <row r="112" customFormat="false" ht="15" hidden="false" customHeight="false" outlineLevel="0" collapsed="false">
      <c r="A112" s="2"/>
      <c r="B112" s="2"/>
      <c r="C112" s="2"/>
      <c r="D112" s="2"/>
      <c r="E112" s="2"/>
      <c r="F112" s="2"/>
      <c r="G112" s="2"/>
      <c r="H112" s="2"/>
      <c r="I112" s="2"/>
      <c r="J112" s="2"/>
      <c r="K112" s="2"/>
      <c r="L112" s="2"/>
      <c r="M112" s="2"/>
      <c r="N112" s="2"/>
      <c r="O112" s="2" t="s">
        <v>669</v>
      </c>
      <c r="P112" s="2"/>
      <c r="Q112" s="2"/>
      <c r="R112" s="2"/>
      <c r="S112" s="2"/>
      <c r="T112" s="2"/>
      <c r="U112" s="2"/>
      <c r="V112" s="2"/>
      <c r="W112" s="2"/>
      <c r="X112" s="2"/>
      <c r="Y112" s="2"/>
      <c r="Z112" s="2"/>
    </row>
    <row r="113" customFormat="false" ht="15" hidden="false" customHeight="false" outlineLevel="0" collapsed="false">
      <c r="A113" s="2"/>
      <c r="B113" s="2"/>
      <c r="C113" s="2"/>
      <c r="D113" s="2"/>
      <c r="E113" s="2"/>
      <c r="F113" s="2"/>
      <c r="G113" s="2"/>
      <c r="H113" s="2"/>
      <c r="I113" s="2"/>
      <c r="J113" s="2"/>
      <c r="K113" s="2"/>
      <c r="L113" s="2"/>
      <c r="M113" s="2"/>
      <c r="N113" s="2"/>
      <c r="O113" s="2" t="s">
        <v>670</v>
      </c>
      <c r="P113" s="2"/>
      <c r="Q113" s="2"/>
      <c r="R113" s="2"/>
      <c r="S113" s="2"/>
      <c r="T113" s="2"/>
      <c r="U113" s="2"/>
      <c r="V113" s="2"/>
      <c r="W113" s="2"/>
      <c r="X113" s="2"/>
      <c r="Y113" s="2"/>
      <c r="Z113" s="2"/>
    </row>
    <row r="114" customFormat="false" ht="15" hidden="false" customHeight="false" outlineLevel="0" collapsed="false">
      <c r="A114" s="2"/>
      <c r="B114" s="2"/>
      <c r="C114" s="2"/>
      <c r="D114" s="2"/>
      <c r="E114" s="2"/>
      <c r="F114" s="2"/>
      <c r="G114" s="2"/>
      <c r="H114" s="2"/>
      <c r="I114" s="2"/>
      <c r="J114" s="2"/>
      <c r="K114" s="2"/>
      <c r="L114" s="2"/>
      <c r="M114" s="2"/>
      <c r="N114" s="2"/>
      <c r="O114" s="2" t="s">
        <v>671</v>
      </c>
      <c r="P114" s="2"/>
      <c r="Q114" s="2"/>
      <c r="R114" s="2"/>
      <c r="S114" s="2"/>
      <c r="T114" s="2"/>
      <c r="U114" s="2"/>
      <c r="V114" s="2"/>
      <c r="W114" s="2"/>
      <c r="X114" s="2"/>
      <c r="Y114" s="2"/>
      <c r="Z114" s="2"/>
    </row>
    <row r="115" customFormat="false" ht="15" hidden="false" customHeight="false" outlineLevel="0" collapsed="false">
      <c r="A115" s="2"/>
      <c r="B115" s="2"/>
      <c r="C115" s="2"/>
      <c r="D115" s="2"/>
      <c r="E115" s="2"/>
      <c r="F115" s="2"/>
      <c r="G115" s="2"/>
      <c r="H115" s="2"/>
      <c r="I115" s="2"/>
      <c r="J115" s="2"/>
      <c r="K115" s="2"/>
      <c r="L115" s="2"/>
      <c r="M115" s="2"/>
      <c r="N115" s="2"/>
      <c r="O115" s="2" t="s">
        <v>672</v>
      </c>
      <c r="P115" s="2"/>
      <c r="Q115" s="2"/>
      <c r="R115" s="2"/>
      <c r="S115" s="2"/>
      <c r="T115" s="2"/>
      <c r="U115" s="2"/>
      <c r="V115" s="2"/>
      <c r="W115" s="2"/>
      <c r="X115" s="2"/>
      <c r="Y115" s="2"/>
      <c r="Z115" s="2"/>
    </row>
    <row r="116" customFormat="false" ht="15" hidden="false" customHeight="false" outlineLevel="0" collapsed="false">
      <c r="A116" s="2"/>
      <c r="B116" s="2"/>
      <c r="C116" s="2"/>
      <c r="D116" s="2"/>
      <c r="E116" s="2"/>
      <c r="F116" s="2"/>
      <c r="G116" s="2"/>
      <c r="H116" s="2"/>
      <c r="I116" s="2"/>
      <c r="J116" s="2"/>
      <c r="K116" s="2"/>
      <c r="L116" s="2"/>
      <c r="M116" s="2"/>
      <c r="N116" s="2"/>
      <c r="O116" s="2" t="s">
        <v>673</v>
      </c>
      <c r="P116" s="2"/>
      <c r="Q116" s="2"/>
      <c r="R116" s="2"/>
      <c r="S116" s="2"/>
      <c r="T116" s="2"/>
      <c r="U116" s="2"/>
      <c r="V116" s="2"/>
      <c r="W116" s="2"/>
      <c r="X116" s="2"/>
      <c r="Y116" s="2"/>
      <c r="Z116" s="2"/>
    </row>
    <row r="117" customFormat="false" ht="15" hidden="false" customHeight="false" outlineLevel="0" collapsed="false">
      <c r="A117" s="2"/>
      <c r="B117" s="2"/>
      <c r="C117" s="2"/>
      <c r="D117" s="2"/>
      <c r="E117" s="2"/>
      <c r="F117" s="2"/>
      <c r="G117" s="2"/>
      <c r="H117" s="2"/>
      <c r="I117" s="2"/>
      <c r="J117" s="2"/>
      <c r="K117" s="2"/>
      <c r="L117" s="2"/>
      <c r="M117" s="2"/>
      <c r="N117" s="2"/>
      <c r="O117" s="2" t="s">
        <v>674</v>
      </c>
      <c r="P117" s="2"/>
      <c r="Q117" s="2"/>
      <c r="R117" s="2"/>
      <c r="S117" s="2"/>
      <c r="T117" s="2"/>
      <c r="U117" s="2"/>
      <c r="V117" s="2"/>
      <c r="W117" s="2"/>
      <c r="X117" s="2"/>
      <c r="Y117" s="2"/>
      <c r="Z117" s="2"/>
    </row>
    <row r="118" customFormat="false" ht="15" hidden="false" customHeight="false" outlineLevel="0" collapsed="false">
      <c r="A118" s="2"/>
      <c r="B118" s="2"/>
      <c r="C118" s="2"/>
      <c r="D118" s="2"/>
      <c r="E118" s="2"/>
      <c r="F118" s="2"/>
      <c r="G118" s="2"/>
      <c r="H118" s="2"/>
      <c r="I118" s="2"/>
      <c r="J118" s="2"/>
      <c r="K118" s="2"/>
      <c r="L118" s="2"/>
      <c r="M118" s="2"/>
      <c r="N118" s="2"/>
      <c r="O118" s="2" t="s">
        <v>675</v>
      </c>
      <c r="P118" s="2"/>
      <c r="Q118" s="2"/>
      <c r="R118" s="2"/>
      <c r="S118" s="2"/>
      <c r="T118" s="2"/>
      <c r="U118" s="2"/>
      <c r="V118" s="2"/>
      <c r="W118" s="2"/>
      <c r="X118" s="2"/>
      <c r="Y118" s="2"/>
      <c r="Z118" s="2"/>
    </row>
    <row r="119" customFormat="false" ht="15" hidden="false" customHeight="false" outlineLevel="0" collapsed="false">
      <c r="A119" s="2"/>
      <c r="B119" s="2"/>
      <c r="C119" s="2"/>
      <c r="D119" s="2"/>
      <c r="E119" s="2"/>
      <c r="F119" s="2"/>
      <c r="G119" s="2"/>
      <c r="H119" s="2"/>
      <c r="I119" s="2"/>
      <c r="J119" s="2"/>
      <c r="K119" s="2"/>
      <c r="L119" s="2"/>
      <c r="M119" s="2"/>
      <c r="N119" s="2"/>
      <c r="O119" s="2" t="s">
        <v>676</v>
      </c>
      <c r="P119" s="2"/>
      <c r="Q119" s="2"/>
      <c r="R119" s="2"/>
      <c r="S119" s="2"/>
      <c r="T119" s="2"/>
      <c r="U119" s="2"/>
      <c r="V119" s="2"/>
      <c r="W119" s="2"/>
      <c r="X119" s="2"/>
      <c r="Y119" s="2"/>
      <c r="Z119" s="2"/>
    </row>
    <row r="120" customFormat="false" ht="15" hidden="false" customHeight="false" outlineLevel="0" collapsed="false">
      <c r="A120" s="2"/>
      <c r="B120" s="2"/>
      <c r="C120" s="2"/>
      <c r="D120" s="2"/>
      <c r="E120" s="2"/>
      <c r="F120" s="2"/>
      <c r="G120" s="2"/>
      <c r="H120" s="2"/>
      <c r="I120" s="2"/>
      <c r="J120" s="2"/>
      <c r="K120" s="2"/>
      <c r="L120" s="2"/>
      <c r="M120" s="2"/>
      <c r="N120" s="2"/>
      <c r="O120" s="2" t="s">
        <v>677</v>
      </c>
      <c r="P120" s="2"/>
      <c r="Q120" s="2"/>
      <c r="R120" s="2"/>
      <c r="S120" s="2"/>
      <c r="T120" s="2"/>
      <c r="U120" s="2"/>
      <c r="V120" s="2"/>
      <c r="W120" s="2"/>
      <c r="X120" s="2"/>
      <c r="Y120" s="2"/>
      <c r="Z120" s="2"/>
    </row>
    <row r="121" customFormat="false" ht="15" hidden="false" customHeight="false" outlineLevel="0" collapsed="false">
      <c r="A121" s="2"/>
      <c r="B121" s="2"/>
      <c r="C121" s="2"/>
      <c r="D121" s="2"/>
      <c r="E121" s="2"/>
      <c r="F121" s="2"/>
      <c r="G121" s="2"/>
      <c r="H121" s="2"/>
      <c r="I121" s="2"/>
      <c r="J121" s="2"/>
      <c r="K121" s="2"/>
      <c r="L121" s="2"/>
      <c r="M121" s="2"/>
      <c r="N121" s="2"/>
      <c r="O121" s="2" t="s">
        <v>678</v>
      </c>
      <c r="P121" s="2"/>
      <c r="Q121" s="2"/>
      <c r="R121" s="2"/>
      <c r="S121" s="2"/>
      <c r="T121" s="2"/>
      <c r="U121" s="2"/>
      <c r="V121" s="2"/>
      <c r="W121" s="2"/>
      <c r="X121" s="2"/>
      <c r="Y121" s="2"/>
      <c r="Z121" s="2"/>
    </row>
    <row r="122" customFormat="false" ht="15" hidden="false" customHeight="false" outlineLevel="0" collapsed="false">
      <c r="A122" s="2"/>
      <c r="B122" s="2"/>
      <c r="C122" s="2"/>
      <c r="D122" s="2"/>
      <c r="E122" s="2"/>
      <c r="F122" s="2"/>
      <c r="G122" s="2"/>
      <c r="H122" s="2"/>
      <c r="I122" s="2"/>
      <c r="J122" s="2"/>
      <c r="K122" s="2"/>
      <c r="L122" s="2"/>
      <c r="M122" s="2"/>
      <c r="N122" s="2"/>
      <c r="O122" s="2" t="s">
        <v>679</v>
      </c>
      <c r="P122" s="2"/>
      <c r="Q122" s="2"/>
      <c r="R122" s="2"/>
      <c r="S122" s="2"/>
      <c r="T122" s="2"/>
      <c r="U122" s="2"/>
      <c r="V122" s="2"/>
      <c r="W122" s="2"/>
      <c r="X122" s="2"/>
      <c r="Y122" s="2"/>
      <c r="Z122" s="2"/>
    </row>
    <row r="123" customFormat="false" ht="15" hidden="false" customHeight="false" outlineLevel="0" collapsed="false">
      <c r="A123" s="2"/>
      <c r="B123" s="2"/>
      <c r="C123" s="2"/>
      <c r="D123" s="2"/>
      <c r="E123" s="2"/>
      <c r="F123" s="2"/>
      <c r="G123" s="2"/>
      <c r="H123" s="2"/>
      <c r="I123" s="2"/>
      <c r="J123" s="2"/>
      <c r="K123" s="2"/>
      <c r="L123" s="2"/>
      <c r="M123" s="2"/>
      <c r="N123" s="2"/>
      <c r="O123" s="2" t="s">
        <v>680</v>
      </c>
      <c r="P123" s="2"/>
      <c r="Q123" s="2"/>
      <c r="R123" s="2"/>
      <c r="S123" s="2"/>
      <c r="T123" s="2"/>
      <c r="U123" s="2"/>
      <c r="V123" s="2"/>
      <c r="W123" s="2"/>
      <c r="X123" s="2"/>
      <c r="Y123" s="2"/>
      <c r="Z123" s="2"/>
    </row>
    <row r="124" customFormat="false" ht="15" hidden="false" customHeight="false" outlineLevel="0" collapsed="false">
      <c r="A124" s="2"/>
      <c r="B124" s="2"/>
      <c r="C124" s="2"/>
      <c r="D124" s="2"/>
      <c r="E124" s="2"/>
      <c r="F124" s="2"/>
      <c r="G124" s="2"/>
      <c r="H124" s="2"/>
      <c r="I124" s="2"/>
      <c r="J124" s="2"/>
      <c r="K124" s="2"/>
      <c r="L124" s="2"/>
      <c r="M124" s="2"/>
      <c r="N124" s="2"/>
      <c r="O124" s="2" t="s">
        <v>681</v>
      </c>
      <c r="P124" s="2"/>
      <c r="Q124" s="2"/>
      <c r="R124" s="2"/>
      <c r="S124" s="2"/>
      <c r="T124" s="2"/>
      <c r="U124" s="2"/>
      <c r="V124" s="2"/>
      <c r="W124" s="2"/>
      <c r="X124" s="2"/>
      <c r="Y124" s="2"/>
      <c r="Z124" s="2"/>
    </row>
    <row r="125" customFormat="false" ht="15" hidden="false" customHeight="false" outlineLevel="0" collapsed="false">
      <c r="A125" s="2"/>
      <c r="B125" s="2"/>
      <c r="C125" s="2"/>
      <c r="D125" s="2"/>
      <c r="E125" s="2"/>
      <c r="F125" s="2"/>
      <c r="G125" s="2"/>
      <c r="H125" s="2"/>
      <c r="I125" s="2"/>
      <c r="J125" s="2"/>
      <c r="K125" s="2"/>
      <c r="L125" s="2"/>
      <c r="M125" s="2"/>
      <c r="N125" s="2"/>
      <c r="O125" s="2" t="s">
        <v>682</v>
      </c>
      <c r="P125" s="2"/>
      <c r="Q125" s="2"/>
      <c r="R125" s="2"/>
      <c r="S125" s="2"/>
      <c r="T125" s="2"/>
      <c r="U125" s="2"/>
      <c r="V125" s="2"/>
      <c r="W125" s="2"/>
      <c r="X125" s="2"/>
      <c r="Y125" s="2"/>
      <c r="Z125" s="2"/>
    </row>
    <row r="126" customFormat="false" ht="15" hidden="false" customHeight="false" outlineLevel="0" collapsed="false">
      <c r="A126" s="2"/>
      <c r="B126" s="2"/>
      <c r="C126" s="2"/>
      <c r="D126" s="2"/>
      <c r="E126" s="2"/>
      <c r="F126" s="2"/>
      <c r="G126" s="2"/>
      <c r="H126" s="2"/>
      <c r="I126" s="2"/>
      <c r="J126" s="2"/>
      <c r="K126" s="2"/>
      <c r="L126" s="2"/>
      <c r="M126" s="2"/>
      <c r="N126" s="2"/>
      <c r="O126" s="2" t="s">
        <v>683</v>
      </c>
      <c r="P126" s="2"/>
      <c r="Q126" s="2"/>
      <c r="R126" s="2"/>
      <c r="S126" s="2"/>
      <c r="T126" s="2"/>
      <c r="U126" s="2"/>
      <c r="V126" s="2"/>
      <c r="W126" s="2"/>
      <c r="X126" s="2"/>
      <c r="Y126" s="2"/>
      <c r="Z126" s="2"/>
    </row>
    <row r="127" customFormat="false" ht="15" hidden="false" customHeight="false" outlineLevel="0" collapsed="false">
      <c r="A127" s="2"/>
      <c r="B127" s="2"/>
      <c r="C127" s="2"/>
      <c r="D127" s="2"/>
      <c r="E127" s="2"/>
      <c r="F127" s="2"/>
      <c r="G127" s="2"/>
      <c r="H127" s="2"/>
      <c r="I127" s="2"/>
      <c r="J127" s="2"/>
      <c r="K127" s="2"/>
      <c r="L127" s="2"/>
      <c r="M127" s="2"/>
      <c r="N127" s="2"/>
      <c r="O127" s="2" t="s">
        <v>684</v>
      </c>
      <c r="P127" s="2"/>
      <c r="Q127" s="2"/>
      <c r="R127" s="2"/>
      <c r="S127" s="2"/>
      <c r="T127" s="2"/>
      <c r="U127" s="2"/>
      <c r="V127" s="2"/>
      <c r="W127" s="2"/>
      <c r="X127" s="2"/>
      <c r="Y127" s="2"/>
      <c r="Z127" s="2"/>
    </row>
    <row r="128" customFormat="false" ht="15" hidden="false" customHeight="false" outlineLevel="0" collapsed="false">
      <c r="A128" s="2"/>
      <c r="B128" s="2"/>
      <c r="C128" s="2"/>
      <c r="D128" s="2"/>
      <c r="E128" s="2"/>
      <c r="F128" s="2"/>
      <c r="G128" s="2"/>
      <c r="H128" s="2"/>
      <c r="I128" s="2"/>
      <c r="J128" s="2"/>
      <c r="K128" s="2"/>
      <c r="L128" s="2"/>
      <c r="M128" s="2"/>
      <c r="N128" s="2"/>
      <c r="O128" s="2" t="s">
        <v>685</v>
      </c>
      <c r="P128" s="2"/>
      <c r="Q128" s="2"/>
      <c r="R128" s="2"/>
      <c r="S128" s="2"/>
      <c r="T128" s="2"/>
      <c r="U128" s="2"/>
      <c r="V128" s="2"/>
      <c r="W128" s="2"/>
      <c r="X128" s="2"/>
      <c r="Y128" s="2"/>
      <c r="Z128" s="2"/>
    </row>
    <row r="129" customFormat="false" ht="15" hidden="false" customHeight="false" outlineLevel="0" collapsed="false">
      <c r="A129" s="2"/>
      <c r="B129" s="2"/>
      <c r="C129" s="2"/>
      <c r="D129" s="2"/>
      <c r="E129" s="2"/>
      <c r="F129" s="2"/>
      <c r="G129" s="2"/>
      <c r="H129" s="2"/>
      <c r="I129" s="2"/>
      <c r="J129" s="2"/>
      <c r="K129" s="2"/>
      <c r="L129" s="2"/>
      <c r="M129" s="2"/>
      <c r="N129" s="2"/>
      <c r="O129" s="2" t="s">
        <v>686</v>
      </c>
      <c r="P129" s="2"/>
      <c r="Q129" s="2"/>
      <c r="R129" s="2"/>
      <c r="S129" s="2"/>
      <c r="T129" s="2"/>
      <c r="U129" s="2"/>
      <c r="V129" s="2"/>
      <c r="W129" s="2"/>
      <c r="X129" s="2"/>
      <c r="Y129" s="2"/>
      <c r="Z129" s="2"/>
    </row>
    <row r="130" customFormat="false" ht="15" hidden="false" customHeight="false" outlineLevel="0" collapsed="false">
      <c r="A130" s="2"/>
      <c r="B130" s="2"/>
      <c r="C130" s="2"/>
      <c r="D130" s="2"/>
      <c r="E130" s="2"/>
      <c r="F130" s="2"/>
      <c r="G130" s="2"/>
      <c r="H130" s="2"/>
      <c r="I130" s="2"/>
      <c r="J130" s="2"/>
      <c r="K130" s="2"/>
      <c r="L130" s="2"/>
      <c r="M130" s="2"/>
      <c r="N130" s="2"/>
      <c r="O130" s="2" t="s">
        <v>687</v>
      </c>
      <c r="P130" s="2"/>
      <c r="Q130" s="2"/>
      <c r="R130" s="2"/>
      <c r="S130" s="2"/>
      <c r="T130" s="2"/>
      <c r="U130" s="2"/>
      <c r="V130" s="2"/>
      <c r="W130" s="2"/>
      <c r="X130" s="2"/>
      <c r="Y130" s="2"/>
      <c r="Z130" s="2"/>
    </row>
    <row r="131" customFormat="false" ht="15" hidden="false" customHeight="false" outlineLevel="0" collapsed="false">
      <c r="A131" s="2"/>
      <c r="B131" s="2"/>
      <c r="C131" s="2"/>
      <c r="D131" s="2"/>
      <c r="E131" s="2"/>
      <c r="F131" s="2"/>
      <c r="G131" s="2"/>
      <c r="H131" s="2"/>
      <c r="I131" s="2"/>
      <c r="J131" s="2"/>
      <c r="K131" s="2"/>
      <c r="L131" s="2"/>
      <c r="M131" s="2"/>
      <c r="N131" s="2"/>
      <c r="O131" s="2" t="s">
        <v>688</v>
      </c>
      <c r="P131" s="2"/>
      <c r="Q131" s="2"/>
      <c r="R131" s="2"/>
      <c r="S131" s="2"/>
      <c r="T131" s="2"/>
      <c r="U131" s="2"/>
      <c r="V131" s="2"/>
      <c r="W131" s="2"/>
      <c r="X131" s="2"/>
      <c r="Y131" s="2"/>
      <c r="Z131" s="2"/>
    </row>
    <row r="132" customFormat="false" ht="15" hidden="false" customHeight="false" outlineLevel="0" collapsed="false">
      <c r="A132" s="2"/>
      <c r="B132" s="2"/>
      <c r="C132" s="2"/>
      <c r="D132" s="2"/>
      <c r="E132" s="2"/>
      <c r="F132" s="2"/>
      <c r="G132" s="2"/>
      <c r="H132" s="2"/>
      <c r="I132" s="2"/>
      <c r="J132" s="2"/>
      <c r="K132" s="2"/>
      <c r="L132" s="2"/>
      <c r="M132" s="2"/>
      <c r="N132" s="2"/>
      <c r="O132" s="2" t="s">
        <v>689</v>
      </c>
      <c r="P132" s="2"/>
      <c r="Q132" s="2"/>
      <c r="R132" s="2"/>
      <c r="S132" s="2"/>
      <c r="T132" s="2"/>
      <c r="U132" s="2"/>
      <c r="V132" s="2"/>
      <c r="W132" s="2"/>
      <c r="X132" s="2"/>
      <c r="Y132" s="2"/>
      <c r="Z132" s="2"/>
    </row>
    <row r="133" customFormat="false" ht="15" hidden="false" customHeight="false" outlineLevel="0" collapsed="false">
      <c r="A133" s="2"/>
      <c r="B133" s="2"/>
      <c r="C133" s="2"/>
      <c r="D133" s="2"/>
      <c r="E133" s="2"/>
      <c r="F133" s="2"/>
      <c r="G133" s="2"/>
      <c r="H133" s="2"/>
      <c r="I133" s="2"/>
      <c r="J133" s="2"/>
      <c r="K133" s="2"/>
      <c r="L133" s="2"/>
      <c r="M133" s="2"/>
      <c r="N133" s="2"/>
      <c r="O133" s="2" t="s">
        <v>690</v>
      </c>
      <c r="P133" s="2"/>
      <c r="Q133" s="2"/>
      <c r="R133" s="2"/>
      <c r="S133" s="2"/>
      <c r="T133" s="2"/>
      <c r="U133" s="2"/>
      <c r="V133" s="2"/>
      <c r="W133" s="2"/>
      <c r="X133" s="2"/>
      <c r="Y133" s="2"/>
      <c r="Z133" s="2"/>
    </row>
    <row r="134" customFormat="false" ht="15" hidden="false" customHeight="false" outlineLevel="0" collapsed="false">
      <c r="A134" s="2"/>
      <c r="B134" s="2"/>
      <c r="C134" s="2"/>
      <c r="D134" s="2"/>
      <c r="E134" s="2"/>
      <c r="F134" s="2"/>
      <c r="G134" s="2"/>
      <c r="H134" s="2"/>
      <c r="I134" s="2"/>
      <c r="J134" s="2"/>
      <c r="K134" s="2"/>
      <c r="L134" s="2"/>
      <c r="M134" s="2"/>
      <c r="N134" s="2"/>
      <c r="O134" s="2" t="s">
        <v>691</v>
      </c>
      <c r="P134" s="2"/>
      <c r="Q134" s="2"/>
      <c r="R134" s="2"/>
      <c r="S134" s="2"/>
      <c r="T134" s="2"/>
      <c r="U134" s="2"/>
      <c r="V134" s="2"/>
      <c r="W134" s="2"/>
      <c r="X134" s="2"/>
      <c r="Y134" s="2"/>
      <c r="Z134" s="2"/>
    </row>
    <row r="135" customFormat="false" ht="15" hidden="false" customHeight="false" outlineLevel="0" collapsed="false">
      <c r="A135" s="2"/>
      <c r="B135" s="2"/>
      <c r="C135" s="2"/>
      <c r="D135" s="2"/>
      <c r="E135" s="2"/>
      <c r="F135" s="2"/>
      <c r="G135" s="2"/>
      <c r="H135" s="2"/>
      <c r="I135" s="2"/>
      <c r="J135" s="2"/>
      <c r="K135" s="2"/>
      <c r="L135" s="2"/>
      <c r="M135" s="2"/>
      <c r="N135" s="2"/>
      <c r="O135" s="2" t="s">
        <v>692</v>
      </c>
      <c r="P135" s="2"/>
      <c r="Q135" s="2"/>
      <c r="R135" s="2"/>
      <c r="S135" s="2"/>
      <c r="T135" s="2"/>
      <c r="U135" s="2"/>
      <c r="V135" s="2"/>
      <c r="W135" s="2"/>
      <c r="X135" s="2"/>
      <c r="Y135" s="2"/>
      <c r="Z135" s="2"/>
    </row>
    <row r="136" customFormat="false" ht="15" hidden="false" customHeight="false" outlineLevel="0" collapsed="false">
      <c r="A136" s="2"/>
      <c r="B136" s="2"/>
      <c r="C136" s="2"/>
      <c r="D136" s="2"/>
      <c r="E136" s="2"/>
      <c r="F136" s="2"/>
      <c r="G136" s="2"/>
      <c r="H136" s="2"/>
      <c r="I136" s="2"/>
      <c r="J136" s="2"/>
      <c r="K136" s="2"/>
      <c r="L136" s="2"/>
      <c r="M136" s="2"/>
      <c r="N136" s="2"/>
      <c r="O136" s="2" t="s">
        <v>693</v>
      </c>
      <c r="P136" s="2"/>
      <c r="Q136" s="2"/>
      <c r="R136" s="2"/>
      <c r="S136" s="2"/>
      <c r="T136" s="2"/>
      <c r="U136" s="2"/>
      <c r="V136" s="2"/>
      <c r="W136" s="2"/>
      <c r="X136" s="2"/>
      <c r="Y136" s="2"/>
      <c r="Z136" s="2"/>
    </row>
    <row r="137" customFormat="false" ht="15" hidden="false" customHeight="false" outlineLevel="0" collapsed="false">
      <c r="A137" s="2"/>
      <c r="B137" s="2"/>
      <c r="C137" s="2"/>
      <c r="D137" s="2"/>
      <c r="E137" s="2"/>
      <c r="F137" s="2"/>
      <c r="G137" s="2"/>
      <c r="H137" s="2"/>
      <c r="I137" s="2"/>
      <c r="J137" s="2"/>
      <c r="K137" s="2"/>
      <c r="L137" s="2"/>
      <c r="M137" s="2"/>
      <c r="N137" s="2"/>
      <c r="O137" s="2" t="s">
        <v>694</v>
      </c>
      <c r="P137" s="2"/>
      <c r="Q137" s="2"/>
      <c r="R137" s="2"/>
      <c r="S137" s="2"/>
      <c r="T137" s="2"/>
      <c r="U137" s="2"/>
      <c r="V137" s="2"/>
      <c r="W137" s="2"/>
      <c r="X137" s="2"/>
      <c r="Y137" s="2"/>
      <c r="Z137" s="2"/>
    </row>
    <row r="138" customFormat="false" ht="15" hidden="false" customHeight="false" outlineLevel="0" collapsed="false">
      <c r="A138" s="2"/>
      <c r="B138" s="2"/>
      <c r="C138" s="2"/>
      <c r="D138" s="2"/>
      <c r="E138" s="2"/>
      <c r="F138" s="2"/>
      <c r="G138" s="2"/>
      <c r="H138" s="2"/>
      <c r="I138" s="2"/>
      <c r="J138" s="2"/>
      <c r="K138" s="2"/>
      <c r="L138" s="2"/>
      <c r="M138" s="2"/>
      <c r="N138" s="2"/>
      <c r="O138" s="2" t="s">
        <v>695</v>
      </c>
      <c r="P138" s="2"/>
      <c r="Q138" s="2"/>
      <c r="R138" s="2"/>
      <c r="S138" s="2"/>
      <c r="T138" s="2"/>
      <c r="U138" s="2"/>
      <c r="V138" s="2"/>
      <c r="W138" s="2"/>
      <c r="X138" s="2"/>
      <c r="Y138" s="2"/>
      <c r="Z138" s="2"/>
    </row>
    <row r="139" customFormat="false" ht="15" hidden="false" customHeight="false" outlineLevel="0" collapsed="false">
      <c r="A139" s="2"/>
      <c r="B139" s="2"/>
      <c r="C139" s="2"/>
      <c r="D139" s="2"/>
      <c r="E139" s="2"/>
      <c r="F139" s="2"/>
      <c r="G139" s="2"/>
      <c r="H139" s="2"/>
      <c r="I139" s="2"/>
      <c r="J139" s="2"/>
      <c r="K139" s="2"/>
      <c r="L139" s="2"/>
      <c r="M139" s="2"/>
      <c r="N139" s="2"/>
      <c r="O139" s="2" t="s">
        <v>696</v>
      </c>
      <c r="P139" s="2"/>
      <c r="Q139" s="2"/>
      <c r="R139" s="2"/>
      <c r="S139" s="2"/>
      <c r="T139" s="2"/>
      <c r="U139" s="2"/>
      <c r="V139" s="2"/>
      <c r="W139" s="2"/>
      <c r="X139" s="2"/>
      <c r="Y139" s="2"/>
      <c r="Z139" s="2"/>
    </row>
    <row r="140" customFormat="false" ht="15" hidden="false" customHeight="false" outlineLevel="0" collapsed="false">
      <c r="A140" s="2"/>
      <c r="B140" s="2"/>
      <c r="C140" s="2"/>
      <c r="D140" s="2"/>
      <c r="E140" s="2"/>
      <c r="F140" s="2"/>
      <c r="G140" s="2"/>
      <c r="H140" s="2"/>
      <c r="I140" s="2"/>
      <c r="J140" s="2"/>
      <c r="K140" s="2"/>
      <c r="L140" s="2"/>
      <c r="M140" s="2"/>
      <c r="N140" s="2"/>
      <c r="O140" s="2" t="s">
        <v>697</v>
      </c>
      <c r="P140" s="2"/>
      <c r="Q140" s="2"/>
      <c r="R140" s="2"/>
      <c r="S140" s="2"/>
      <c r="T140" s="2"/>
      <c r="U140" s="2"/>
      <c r="V140" s="2"/>
      <c r="W140" s="2"/>
      <c r="X140" s="2"/>
      <c r="Y140" s="2"/>
      <c r="Z140" s="2"/>
    </row>
    <row r="141" customFormat="false" ht="15" hidden="false" customHeight="false" outlineLevel="0" collapsed="false">
      <c r="A141" s="2"/>
      <c r="B141" s="2"/>
      <c r="C141" s="2"/>
      <c r="D141" s="2"/>
      <c r="E141" s="2"/>
      <c r="F141" s="2"/>
      <c r="G141" s="2"/>
      <c r="H141" s="2"/>
      <c r="I141" s="2"/>
      <c r="J141" s="2"/>
      <c r="K141" s="2"/>
      <c r="L141" s="2"/>
      <c r="M141" s="2"/>
      <c r="N141" s="2"/>
      <c r="O141" s="2" t="s">
        <v>698</v>
      </c>
      <c r="P141" s="2"/>
      <c r="Q141" s="2"/>
      <c r="R141" s="2"/>
      <c r="S141" s="2"/>
      <c r="T141" s="2"/>
      <c r="U141" s="2"/>
      <c r="V141" s="2"/>
      <c r="W141" s="2"/>
      <c r="X141" s="2"/>
      <c r="Y141" s="2"/>
      <c r="Z141"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2026-10-14T12:06:16Z</dcterms:created>
  <dc:creator>openpyxl</dc:creator>
  <dc:description/>
  <dc:language>en-US</dc:language>
  <cp:lastModifiedBy/>
  <dcterms:modified xsi:type="dcterms:W3CDTF">2026-10-14T12:06:17Z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